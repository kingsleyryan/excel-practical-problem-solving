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SecurityTools\"/>
    </mc:Choice>
  </mc:AlternateContent>
  <xr:revisionPtr revIDLastSave="0" documentId="8_{B475E851-4915-46D4-AFA1-3DD13F954F6E}" xr6:coauthVersionLast="47" xr6:coauthVersionMax="47" xr10:uidLastSave="{00000000-0000-0000-0000-000000000000}"/>
  <bookViews>
    <workbookView xWindow="-120" yWindow="-120" windowWidth="20730" windowHeight="11040" xr2:uid="{AAF7A159-D2E0-4AB0-B7EE-655114E7BC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G6" i="1"/>
  <c r="I3" i="1"/>
  <c r="I4" i="1"/>
  <c r="I2" i="1"/>
  <c r="H3" i="1"/>
  <c r="H4" i="1"/>
  <c r="H2" i="1"/>
  <c r="G3" i="1"/>
  <c r="G4" i="1"/>
  <c r="G2" i="1"/>
  <c r="E3" i="1"/>
  <c r="E4" i="1"/>
  <c r="E2" i="1"/>
</calcChain>
</file>

<file path=xl/sharedStrings.xml><?xml version="1.0" encoding="utf-8"?>
<sst xmlns="http://schemas.openxmlformats.org/spreadsheetml/2006/main" count="16" uniqueCount="16">
  <si>
    <t>Product_ID</t>
  </si>
  <si>
    <t>PRD-701</t>
  </si>
  <si>
    <t>PRD-702</t>
  </si>
  <si>
    <t>PRD-703</t>
  </si>
  <si>
    <t>Product_Name</t>
  </si>
  <si>
    <t>Factory_Cost_USD</t>
  </si>
  <si>
    <t>Wholesale_Price_USD</t>
  </si>
  <si>
    <t>Total_cost_Basic</t>
  </si>
  <si>
    <t>Gross_Revenue</t>
  </si>
  <si>
    <t>Stock_Alert</t>
  </si>
  <si>
    <t>Smart Solar Inverter</t>
  </si>
  <si>
    <t>Deep Cycle battery</t>
  </si>
  <si>
    <t>Industry Regulator</t>
  </si>
  <si>
    <t>Units_Stocked</t>
  </si>
  <si>
    <t>Import_Tarrif_Cost</t>
  </si>
  <si>
    <t>Total Access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</si>
</sst>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Ariaria Depot</a:t>
            </a:r>
            <a:r>
              <a:rPr lang="en-US" sz="1100" b="1" baseline="0"/>
              <a:t> Financial profile: Outlay vs. Projected Revenue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Total_cost_Basic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Sheet1!$B$2:$B$4</c:f>
              <c:strCache>
                <c:ptCount val="3"/>
                <c:pt idx="0">
                  <c:v>Smart Solar Inverter</c:v>
                </c:pt>
                <c:pt idx="1">
                  <c:v>Deep Cycle battery</c:v>
                </c:pt>
                <c:pt idx="2">
                  <c:v>Industry Regulator</c:v>
                </c:pt>
              </c:strCache>
            </c:strRef>
          </c:cat>
          <c:val>
            <c:numRef>
              <c:f>Sheet1!$G$2:$G$4</c:f>
              <c:numCache>
                <c:formatCode>_-[$$-409]* #,##0.00_ ;_-[$$-409]* \-#,##0.00\ ;_-[$$-409]* "-"??_ ;_-@_ </c:formatCode>
                <c:ptCount val="3"/>
                <c:pt idx="0">
                  <c:v>33600</c:v>
                </c:pt>
                <c:pt idx="1">
                  <c:v>34272</c:v>
                </c:pt>
                <c:pt idx="2">
                  <c:v>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0-457A-B5E5-07D5AEB2F499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Gross_Revenue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Sheet1!$B$2:$B$4</c:f>
              <c:strCache>
                <c:ptCount val="3"/>
                <c:pt idx="0">
                  <c:v>Smart Solar Inverter</c:v>
                </c:pt>
                <c:pt idx="1">
                  <c:v>Deep Cycle battery</c:v>
                </c:pt>
                <c:pt idx="2">
                  <c:v>Industry Regulator</c:v>
                </c:pt>
              </c:strCache>
            </c:strRef>
          </c:cat>
          <c:val>
            <c:numRef>
              <c:f>Sheet1!$H$2:$H$4</c:f>
              <c:numCache>
                <c:formatCode>_-[$$-409]* #,##0.00_ ;_-[$$-409]* \-#,##0.00\ ;_-[$$-409]* "-"??_ ;_-@_ </c:formatCode>
                <c:ptCount val="3"/>
                <c:pt idx="0">
                  <c:v>50400</c:v>
                </c:pt>
                <c:pt idx="1">
                  <c:v>51000</c:v>
                </c:pt>
                <c:pt idx="2">
                  <c:v>39650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0-457A-B5E5-07D5AEB2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479647"/>
        <c:axId val="1114480127"/>
      </c:barChart>
      <c:catAx>
        <c:axId val="111447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14480127"/>
        <c:crosses val="autoZero"/>
        <c:auto val="1"/>
        <c:lblAlgn val="ctr"/>
        <c:lblOffset val="100"/>
        <c:noMultiLvlLbl val="0"/>
      </c:catAx>
      <c:valAx>
        <c:axId val="111448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1447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7</xdr:row>
      <xdr:rowOff>185737</xdr:rowOff>
    </xdr:from>
    <xdr:to>
      <xdr:col>9</xdr:col>
      <xdr:colOff>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9FDD1-05EA-452E-452E-DA01E1189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5E54-A631-4FDF-BECE-1718317D5EC2}">
  <dimension ref="A1:I6"/>
  <sheetViews>
    <sheetView tabSelected="1" workbookViewId="0">
      <selection activeCell="C9" sqref="C9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13.7109375" bestFit="1" customWidth="1"/>
    <col min="4" max="4" width="17" bestFit="1" customWidth="1"/>
    <col min="5" max="5" width="17.85546875" bestFit="1" customWidth="1"/>
    <col min="6" max="6" width="20.7109375" bestFit="1" customWidth="1"/>
    <col min="7" max="7" width="20.85546875" bestFit="1" customWidth="1"/>
    <col min="8" max="8" width="14.85546875" bestFit="1" customWidth="1"/>
    <col min="9" max="9" width="19" bestFit="1" customWidth="1"/>
  </cols>
  <sheetData>
    <row r="1" spans="1:9" x14ac:dyDescent="0.25">
      <c r="A1" t="s">
        <v>0</v>
      </c>
      <c r="B1" t="s">
        <v>4</v>
      </c>
      <c r="C1" t="s">
        <v>13</v>
      </c>
      <c r="D1" t="s">
        <v>5</v>
      </c>
      <c r="E1" t="s">
        <v>14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</v>
      </c>
      <c r="B2" t="s">
        <v>10</v>
      </c>
      <c r="C2">
        <v>120</v>
      </c>
      <c r="D2" s="1">
        <v>250</v>
      </c>
      <c r="E2" s="1">
        <f>D2*0.12</f>
        <v>30</v>
      </c>
      <c r="F2" s="1">
        <v>420</v>
      </c>
      <c r="G2" s="1">
        <f>(D2+E2)*C2</f>
        <v>33600</v>
      </c>
      <c r="H2" s="1">
        <f>F2*C2</f>
        <v>50400</v>
      </c>
      <c r="I2" t="str">
        <f>IF(C2&lt;100,"Reorder Immediatly","Stock Adequate")</f>
        <v>Stock Adequate</v>
      </c>
    </row>
    <row r="3" spans="1:9" x14ac:dyDescent="0.25">
      <c r="A3" t="s">
        <v>2</v>
      </c>
      <c r="B3" t="s">
        <v>11</v>
      </c>
      <c r="C3">
        <v>340</v>
      </c>
      <c r="D3" s="1">
        <v>90</v>
      </c>
      <c r="E3" s="1">
        <f t="shared" ref="E3:E4" si="0">D3*0.12</f>
        <v>10.799999999999999</v>
      </c>
      <c r="F3" s="1">
        <v>150</v>
      </c>
      <c r="G3" s="1">
        <f t="shared" ref="G3:G4" si="1">(D3+E3)*C3</f>
        <v>34272</v>
      </c>
      <c r="H3" s="1">
        <f t="shared" ref="H3:H4" si="2">F3*C3</f>
        <v>51000</v>
      </c>
      <c r="I3" t="str">
        <f t="shared" ref="I3:I4" si="3">IF(C3&lt;100,"Reorder Immediatly","Stock Adequate")</f>
        <v>Stock Adequate</v>
      </c>
    </row>
    <row r="4" spans="1:9" x14ac:dyDescent="0.25">
      <c r="A4" t="s">
        <v>3</v>
      </c>
      <c r="B4" t="s">
        <v>12</v>
      </c>
      <c r="C4">
        <v>65</v>
      </c>
      <c r="D4" s="1">
        <v>40</v>
      </c>
      <c r="E4" s="1">
        <f t="shared" si="0"/>
        <v>4.8</v>
      </c>
      <c r="F4" s="1">
        <v>610</v>
      </c>
      <c r="G4" s="1">
        <f t="shared" si="1"/>
        <v>2912</v>
      </c>
      <c r="H4" s="1">
        <f t="shared" si="2"/>
        <v>39650</v>
      </c>
      <c r="I4" t="str">
        <f t="shared" si="3"/>
        <v>Reorder Immediatly</v>
      </c>
    </row>
    <row r="6" spans="1:9" x14ac:dyDescent="0.25">
      <c r="B6" t="s">
        <v>15</v>
      </c>
      <c r="G6" s="1">
        <f>SUM(G2:G4)</f>
        <v>70784</v>
      </c>
      <c r="H6" s="1">
        <f>SUM(H2:H4)</f>
        <v>141050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Kingsleigh Ryan</dc:creator>
  <cp:lastModifiedBy>Kingsleigh Ryan</cp:lastModifiedBy>
  <dcterms:created xsi:type="dcterms:W3CDTF">2026-09-28T13:56:19Z</dcterms:created>
  <dcterms:modified xsi:type="dcterms:W3CDTF">2026-09-28T16:36:40Z</dcterms:modified>
</cp:coreProperties>
</file>