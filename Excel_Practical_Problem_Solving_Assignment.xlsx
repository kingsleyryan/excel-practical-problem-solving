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SecurityTools\"/>
    </mc:Choice>
  </mc:AlternateContent>
  <xr:revisionPtr revIDLastSave="0" documentId="8_{155A52AB-426C-40D1-82DA-ACB87AF8226E}" xr6:coauthVersionLast="47" xr6:coauthVersionMax="47" xr10:uidLastSave="{00000000-0000-0000-0000-000000000000}"/>
  <bookViews>
    <workbookView xWindow="10245" yWindow="30" windowWidth="10440" windowHeight="10785" activeTab="4" xr2:uid="{556C9C9F-EBB9-44AF-B46F-4CC6BD847A43}"/>
  </bookViews>
  <sheets>
    <sheet name="School Supplies" sheetId="1" r:id="rId1"/>
    <sheet name="Dog and Cat" sheetId="6" r:id="rId2"/>
    <sheet name="Vacations" sheetId="5" r:id="rId3"/>
    <sheet name="Printers" sheetId="7" r:id="rId4"/>
    <sheet name="Cars" sheetId="8" r:id="rId5"/>
  </sheets>
  <definedNames>
    <definedName name="_xlnm.Print_Area" localSheetId="0">'School Supplies'!$A$1:$S$38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8" l="1"/>
  <c r="H26" i="8" s="1"/>
  <c r="H28" i="8" s="1"/>
  <c r="I28" i="8"/>
  <c r="J26" i="8"/>
  <c r="J28" i="8"/>
  <c r="B28" i="8"/>
  <c r="I26" i="8"/>
  <c r="B26" i="8"/>
  <c r="J18" i="8"/>
  <c r="J24" i="8" s="1"/>
  <c r="I24" i="8"/>
  <c r="H24" i="8"/>
  <c r="I22" i="8"/>
  <c r="J22" i="8"/>
  <c r="H22" i="8"/>
  <c r="I18" i="8"/>
  <c r="H18" i="8"/>
  <c r="I9" i="8"/>
  <c r="J9" i="8"/>
  <c r="H9" i="8"/>
  <c r="I16" i="8"/>
  <c r="J16" i="8"/>
  <c r="H16" i="8"/>
  <c r="J3" i="8"/>
  <c r="H3" i="8"/>
  <c r="I3" i="8"/>
  <c r="J2" i="8"/>
  <c r="I2" i="8"/>
  <c r="C2" i="8"/>
  <c r="D2" i="8"/>
  <c r="B2" i="8"/>
  <c r="D22" i="8"/>
  <c r="B22" i="8"/>
  <c r="B16" i="8"/>
  <c r="B9" i="8" s="1"/>
  <c r="B18" i="8" s="1"/>
  <c r="B24" i="8" s="1"/>
  <c r="D9" i="8"/>
  <c r="D18" i="8" s="1"/>
  <c r="D24" i="8" s="1"/>
  <c r="D26" i="8" s="1"/>
  <c r="D28" i="8" s="1"/>
  <c r="C16" i="8"/>
  <c r="C9" i="8" s="1"/>
  <c r="C18" i="8" s="1"/>
  <c r="D16" i="8"/>
  <c r="C20" i="8"/>
  <c r="C22" i="8" s="1"/>
  <c r="D20" i="8"/>
  <c r="B20" i="8"/>
  <c r="C14" i="7"/>
  <c r="D14" i="7"/>
  <c r="B14" i="7"/>
  <c r="H14" i="7"/>
  <c r="I14" i="7"/>
  <c r="G14" i="7"/>
  <c r="I12" i="7"/>
  <c r="H12" i="7"/>
  <c r="G12" i="7"/>
  <c r="H8" i="7"/>
  <c r="I8" i="7"/>
  <c r="D12" i="7"/>
  <c r="I9" i="7"/>
  <c r="H9" i="7"/>
  <c r="G9" i="7"/>
  <c r="I6" i="7"/>
  <c r="H6" i="7"/>
  <c r="G6" i="7"/>
  <c r="G8" i="7"/>
  <c r="H19" i="7"/>
  <c r="I19" i="7"/>
  <c r="G18" i="7"/>
  <c r="G19" i="7" s="1"/>
  <c r="C8" i="7"/>
  <c r="D8" i="7"/>
  <c r="D9" i="7" s="1"/>
  <c r="B8" i="7"/>
  <c r="C9" i="7"/>
  <c r="C12" i="7" s="1"/>
  <c r="B9" i="7"/>
  <c r="B12" i="7" s="1"/>
  <c r="C19" i="7"/>
  <c r="D19" i="7"/>
  <c r="B19" i="7"/>
  <c r="B18" i="7"/>
  <c r="D6" i="7"/>
  <c r="C6" i="7"/>
  <c r="B6" i="7"/>
  <c r="I25" i="5"/>
  <c r="H25" i="5"/>
  <c r="J19" i="5"/>
  <c r="J27" i="5" s="1"/>
  <c r="J17" i="5"/>
  <c r="I17" i="5"/>
  <c r="I19" i="5" s="1"/>
  <c r="I27" i="5" s="1"/>
  <c r="H17" i="5"/>
  <c r="H19" i="5" s="1"/>
  <c r="H27" i="5" s="1"/>
  <c r="B27" i="5"/>
  <c r="B19" i="5"/>
  <c r="B25" i="5"/>
  <c r="D27" i="5"/>
  <c r="C27" i="5"/>
  <c r="C25" i="5"/>
  <c r="C17" i="5"/>
  <c r="C19" i="5" s="1"/>
  <c r="B17" i="5"/>
  <c r="D17" i="5"/>
  <c r="D19" i="5" s="1"/>
  <c r="B9" i="6"/>
  <c r="C9" i="6"/>
  <c r="B15" i="6"/>
  <c r="B16" i="6" s="1"/>
  <c r="B18" i="6" s="1"/>
  <c r="C15" i="6"/>
  <c r="C16" i="6" s="1"/>
  <c r="C18" i="6" s="1"/>
  <c r="H19" i="1"/>
  <c r="I19" i="1"/>
  <c r="G19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C24" i="8" l="1"/>
  <c r="C26" i="8" s="1"/>
  <c r="C28" i="8" s="1"/>
  <c r="M19" i="1"/>
  <c r="L19" i="1"/>
  <c r="N19" i="1"/>
</calcChain>
</file>

<file path=xl/sharedStrings.xml><?xml version="1.0" encoding="utf-8"?>
<sst xmlns="http://schemas.openxmlformats.org/spreadsheetml/2006/main" count="193" uniqueCount="103">
  <si>
    <t>WaltMart</t>
  </si>
  <si>
    <t>Dollar Trap</t>
  </si>
  <si>
    <t>Offiice Repo</t>
  </si>
  <si>
    <t>Susan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</si>
  <si>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</si>
  <si>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</si>
  <si>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</si>
  <si>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</si>
  <si>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</si>
  <si>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</si>
  <si>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</si>
  <si>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</si>
  <si>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</si>
  <si>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</si>
  <si>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Stepler</t>
  </si>
  <si>
    <t>Planner Book</t>
  </si>
  <si>
    <t>Protractor</t>
  </si>
  <si>
    <t>ompass</t>
  </si>
  <si>
    <t>Liquid Paper</t>
  </si>
  <si>
    <t>Total</t>
  </si>
  <si>
    <t>Office Repo</t>
  </si>
  <si>
    <t>Tim</t>
  </si>
  <si>
    <t>One Year Costs</t>
  </si>
  <si>
    <t>Cat</t>
  </si>
  <si>
    <t>Dog</t>
  </si>
  <si>
    <t>Monthly Total</t>
  </si>
  <si>
    <t>Subtotal</t>
  </si>
  <si>
    <t>Treats</t>
  </si>
  <si>
    <t>Litter</t>
  </si>
  <si>
    <t xml:space="preserve"> Food</t>
  </si>
  <si>
    <t>Monthly</t>
  </si>
  <si>
    <t>Initial Total</t>
  </si>
  <si>
    <t>Leash</t>
  </si>
  <si>
    <t>Bowl</t>
  </si>
  <si>
    <t>Tag</t>
  </si>
  <si>
    <t>Collar</t>
  </si>
  <si>
    <t>Purchase</t>
  </si>
  <si>
    <t>Initial</t>
  </si>
  <si>
    <t>Chicago Museum</t>
  </si>
  <si>
    <t>Orlando Theme Park</t>
  </si>
  <si>
    <t>Miami Cruise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</si>
  <si>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</si>
  <si>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</si>
  <si>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</si>
  <si>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</si>
  <si>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</si>
  <si>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</si>
  <si>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</si>
  <si>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</si>
  <si>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</si>
  <si>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</si>
  <si>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</si>
  <si>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Subtotal of Tickets (per person)</t>
  </si>
  <si>
    <t>Number of People in group</t>
  </si>
  <si>
    <t>Total costs of tickets</t>
  </si>
  <si>
    <t>Hotel Expenses</t>
  </si>
  <si>
    <t>Hotel Cost per Night</t>
  </si>
  <si>
    <t>Number of Nights</t>
  </si>
  <si>
    <t>Hotel Total</t>
  </si>
  <si>
    <t xml:space="preserve">Car Rental </t>
  </si>
  <si>
    <t xml:space="preserve"> </t>
  </si>
  <si>
    <t>Purchase Price</t>
  </si>
  <si>
    <t>Cost of Set of Cartridges</t>
  </si>
  <si>
    <t>Pages cartridge can print</t>
  </si>
  <si>
    <t>Cost Per page</t>
  </si>
  <si>
    <t>Pages per year</t>
  </si>
  <si>
    <t>Printing Costs per year</t>
  </si>
  <si>
    <t>Years</t>
  </si>
  <si>
    <t>Total Printing Cost</t>
  </si>
  <si>
    <t>Total Cost</t>
  </si>
  <si>
    <t>Expected Pages Per day</t>
  </si>
  <si>
    <t>Days in Week</t>
  </si>
  <si>
    <t>Weeks in Year</t>
  </si>
  <si>
    <t>Total Pages</t>
  </si>
  <si>
    <t>Epsilon</t>
  </si>
  <si>
    <t>HV</t>
  </si>
  <si>
    <t>Zero</t>
  </si>
  <si>
    <t>Spark</t>
  </si>
  <si>
    <t>Mustang</t>
  </si>
  <si>
    <t>Escalade</t>
  </si>
  <si>
    <t>Initial Costs</t>
  </si>
  <si>
    <t>Taxes</t>
  </si>
  <si>
    <t>Yearly Cost</t>
  </si>
  <si>
    <t>Insurance</t>
  </si>
  <si>
    <t>License</t>
  </si>
  <si>
    <t>Gas</t>
  </si>
  <si>
    <t>Gas Cost Calculation</t>
  </si>
  <si>
    <t>Miles per year driven</t>
  </si>
  <si>
    <t>MPG</t>
  </si>
  <si>
    <t>Price per gal of gas</t>
  </si>
  <si>
    <t>Total Annual Gas purchases</t>
  </si>
  <si>
    <t>Total Annual Costs (Ins + Lic + Gas)</t>
  </si>
  <si>
    <t>Miles to drive each year</t>
  </si>
  <si>
    <t>Susan's goal for maximum miles</t>
  </si>
  <si>
    <t>Total Life of the Car (years)</t>
  </si>
  <si>
    <t>Annual Costs X Years of Life</t>
  </si>
  <si>
    <t>Total Lifetime Costs</t>
  </si>
  <si>
    <t>Avg Cost / Year</t>
  </si>
  <si>
    <t>Gas Cost</t>
  </si>
  <si>
    <t>Miles</t>
  </si>
  <si>
    <t>Price per gal</t>
  </si>
  <si>
    <t xml:space="preserve">Total Annual Cost </t>
  </si>
  <si>
    <t>Total Annual Gas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</si>
</sst>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7" formatCode="_-&quot;$&quot;* #,##0.00_-;\-&quot;$&quot;* #,##0.00_-;_-&quot;$&quot;* &quot;-&quot;??_-;_-@_-"/>
    <numFmt numFmtId="174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charset val="134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2" fillId="4" borderId="0" xfId="0" applyFont="1" applyFill="1"/>
    <xf numFmtId="0" fontId="2" fillId="2" borderId="0" xfId="0" applyFont="1" applyFill="1"/>
    <xf numFmtId="0" fontId="2" fillId="0" borderId="0" xfId="0" applyFont="1"/>
    <xf numFmtId="0" fontId="0" fillId="5" borderId="0" xfId="0" applyFill="1"/>
    <xf numFmtId="164" fontId="0" fillId="5" borderId="0" xfId="0" applyNumberFormat="1" applyFill="1"/>
    <xf numFmtId="164" fontId="0" fillId="5" borderId="0" xfId="2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0" fontId="3" fillId="0" borderId="0" xfId="3" applyFont="1"/>
    <xf numFmtId="164" fontId="3" fillId="6" borderId="0" xfId="3" applyNumberFormat="1" applyFont="1" applyFill="1"/>
    <xf numFmtId="0" fontId="4" fillId="6" borderId="0" xfId="3" applyFont="1" applyFill="1"/>
    <xf numFmtId="164" fontId="3" fillId="7" borderId="0" xfId="3" applyNumberFormat="1" applyFont="1" applyFill="1"/>
    <xf numFmtId="0" fontId="4" fillId="7" borderId="0" xfId="3" applyFont="1" applyFill="1"/>
    <xf numFmtId="0" fontId="3" fillId="7" borderId="0" xfId="3" applyFont="1" applyFill="1"/>
    <xf numFmtId="0" fontId="5" fillId="7" borderId="0" xfId="3" applyFont="1" applyFill="1"/>
    <xf numFmtId="164" fontId="3" fillId="8" borderId="0" xfId="3" applyNumberFormat="1" applyFont="1" applyFill="1"/>
    <xf numFmtId="0" fontId="4" fillId="8" borderId="0" xfId="3" applyFont="1" applyFill="1"/>
    <xf numFmtId="0" fontId="3" fillId="8" borderId="0" xfId="3" applyFont="1" applyFill="1"/>
    <xf numFmtId="0" fontId="5" fillId="8" borderId="0" xfId="3" applyFont="1" applyFill="1"/>
    <xf numFmtId="0" fontId="3" fillId="0" borderId="0" xfId="3" applyFont="1" applyAlignment="1">
      <alignment textRotation="45"/>
    </xf>
    <xf numFmtId="0" fontId="6" fillId="9" borderId="0" xfId="0" applyFont="1" applyFill="1"/>
    <xf numFmtId="0" fontId="0" fillId="9" borderId="0" xfId="0" applyFill="1"/>
    <xf numFmtId="0" fontId="0" fillId="0" borderId="0" xfId="2" applyNumberFormat="1" applyFont="1"/>
    <xf numFmtId="0" fontId="6" fillId="4" borderId="0" xfId="0" applyFont="1" applyFill="1"/>
    <xf numFmtId="0" fontId="0" fillId="4" borderId="0" xfId="2" applyNumberFormat="1" applyFont="1" applyFill="1"/>
    <xf numFmtId="164" fontId="0" fillId="9" borderId="0" xfId="0" applyNumberFormat="1" applyFill="1"/>
    <xf numFmtId="164" fontId="0" fillId="9" borderId="0" xfId="2" applyNumberFormat="1" applyFont="1" applyFill="1"/>
    <xf numFmtId="164" fontId="0" fillId="4" borderId="0" xfId="2" applyNumberFormat="1" applyFont="1" applyFill="1"/>
    <xf numFmtId="0" fontId="0" fillId="0" borderId="0" xfId="0" applyFill="1"/>
    <xf numFmtId="0" fontId="8" fillId="0" borderId="0" xfId="0" applyNumberFormat="1" applyFont="1" applyFill="1" applyBorder="1" applyAlignment="1" applyProtection="1"/>
    <xf numFmtId="0" fontId="8" fillId="10" borderId="0" xfId="0" applyNumberFormat="1" applyFont="1" applyFill="1" applyBorder="1" applyAlignment="1" applyProtection="1"/>
    <xf numFmtId="0" fontId="8" fillId="11" borderId="0" xfId="0" applyNumberFormat="1" applyFont="1" applyFill="1" applyBorder="1" applyAlignment="1" applyProtection="1"/>
    <xf numFmtId="164" fontId="0" fillId="11" borderId="0" xfId="0" applyNumberFormat="1" applyFill="1"/>
    <xf numFmtId="0" fontId="0" fillId="11" borderId="0" xfId="0" applyFill="1"/>
    <xf numFmtId="2" fontId="0" fillId="0" borderId="0" xfId="0" applyNumberFormat="1"/>
    <xf numFmtId="174" fontId="0" fillId="0" borderId="0" xfId="1" applyNumberFormat="1" applyFont="1"/>
    <xf numFmtId="0" fontId="8" fillId="12" borderId="0" xfId="0" applyNumberFormat="1" applyFont="1" applyFill="1" applyBorder="1" applyAlignment="1" applyProtection="1"/>
    <xf numFmtId="164" fontId="0" fillId="12" borderId="0" xfId="0" applyNumberFormat="1" applyFill="1"/>
    <xf numFmtId="0" fontId="0" fillId="12" borderId="0" xfId="0" applyFill="1"/>
    <xf numFmtId="0" fontId="8" fillId="5" borderId="0" xfId="0" applyNumberFormat="1" applyFont="1" applyFill="1" applyBorder="1" applyAlignment="1" applyProtection="1"/>
    <xf numFmtId="1" fontId="0" fillId="5" borderId="0" xfId="0" applyNumberFormat="1" applyFill="1"/>
    <xf numFmtId="0" fontId="8" fillId="13" borderId="0" xfId="0" applyNumberFormat="1" applyFont="1" applyFill="1" applyBorder="1" applyAlignment="1" applyProtection="1"/>
    <xf numFmtId="2" fontId="0" fillId="13" borderId="0" xfId="0" applyNumberFormat="1" applyFill="1"/>
    <xf numFmtId="0" fontId="9" fillId="0" borderId="0" xfId="0" applyNumberFormat="1" applyFont="1" applyFill="1" applyBorder="1" applyAlignment="1" applyProtection="1"/>
    <xf numFmtId="43" fontId="10" fillId="0" borderId="2" xfId="0" applyNumberFormat="1" applyFont="1" applyFill="1" applyBorder="1" applyAlignment="1" applyProtection="1"/>
    <xf numFmtId="167" fontId="10" fillId="11" borderId="0" xfId="0" applyNumberFormat="1" applyFont="1" applyFill="1" applyBorder="1" applyAlignment="1" applyProtection="1"/>
    <xf numFmtId="164" fontId="10" fillId="11" borderId="0" xfId="0" applyNumberFormat="1" applyFont="1" applyFill="1" applyBorder="1" applyAlignment="1" applyProtection="1"/>
    <xf numFmtId="167" fontId="10" fillId="14" borderId="2" xfId="0" applyNumberFormat="1" applyFont="1" applyFill="1" applyBorder="1" applyAlignment="1" applyProtection="1"/>
    <xf numFmtId="167" fontId="10" fillId="14" borderId="3" xfId="0" applyNumberFormat="1" applyFont="1" applyFill="1" applyBorder="1" applyAlignment="1" applyProtection="1"/>
    <xf numFmtId="167" fontId="10" fillId="14" borderId="0" xfId="0" applyNumberFormat="1" applyFont="1" applyFill="1" applyBorder="1" applyAlignment="1" applyProtection="1"/>
    <xf numFmtId="167" fontId="10" fillId="14" borderId="5" xfId="0" applyNumberFormat="1" applyFont="1" applyFill="1" applyBorder="1" applyAlignment="1" applyProtection="1"/>
    <xf numFmtId="164" fontId="10" fillId="14" borderId="0" xfId="0" applyNumberFormat="1" applyFont="1" applyFill="1" applyBorder="1" applyAlignment="1" applyProtection="1"/>
    <xf numFmtId="164" fontId="10" fillId="14" borderId="5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167" fontId="10" fillId="0" borderId="0" xfId="0" applyNumberFormat="1" applyFont="1" applyFill="1" applyBorder="1" applyAlignment="1" applyProtection="1"/>
    <xf numFmtId="0" fontId="10" fillId="18" borderId="0" xfId="0" applyNumberFormat="1" applyFont="1" applyFill="1" applyBorder="1" applyAlignment="1" applyProtection="1"/>
    <xf numFmtId="0" fontId="10" fillId="0" borderId="8" xfId="0" applyNumberFormat="1" applyFont="1" applyFill="1" applyBorder="1" applyAlignment="1" applyProtection="1"/>
    <xf numFmtId="0" fontId="10" fillId="19" borderId="8" xfId="0" applyNumberFormat="1" applyFont="1" applyFill="1" applyBorder="1" applyAlignment="1" applyProtection="1"/>
    <xf numFmtId="0" fontId="7" fillId="0" borderId="0" xfId="0" applyFont="1"/>
    <xf numFmtId="0" fontId="10" fillId="11" borderId="0" xfId="0" applyNumberFormat="1" applyFont="1" applyFill="1" applyBorder="1" applyAlignment="1" applyProtection="1"/>
    <xf numFmtId="167" fontId="7" fillId="11" borderId="0" xfId="0" applyNumberFormat="1" applyFont="1" applyFill="1"/>
    <xf numFmtId="0" fontId="10" fillId="12" borderId="0" xfId="0" applyNumberFormat="1" applyFont="1" applyFill="1" applyBorder="1" applyAlignment="1" applyProtection="1"/>
    <xf numFmtId="167" fontId="7" fillId="12" borderId="0" xfId="0" applyNumberFormat="1" applyFont="1" applyFill="1"/>
    <xf numFmtId="167" fontId="10" fillId="12" borderId="0" xfId="0" applyNumberFormat="1" applyFont="1" applyFill="1" applyBorder="1" applyAlignment="1" applyProtection="1"/>
    <xf numFmtId="164" fontId="10" fillId="12" borderId="0" xfId="0" applyNumberFormat="1" applyFont="1" applyFill="1" applyBorder="1" applyAlignment="1" applyProtection="1"/>
    <xf numFmtId="0" fontId="10" fillId="14" borderId="1" xfId="0" applyNumberFormat="1" applyFont="1" applyFill="1" applyBorder="1" applyAlignment="1" applyProtection="1"/>
    <xf numFmtId="0" fontId="10" fillId="8" borderId="0" xfId="0" applyNumberFormat="1" applyFont="1" applyFill="1" applyBorder="1" applyAlignment="1" applyProtection="1"/>
    <xf numFmtId="167" fontId="10" fillId="8" borderId="0" xfId="0" applyNumberFormat="1" applyFont="1" applyFill="1" applyBorder="1" applyAlignment="1" applyProtection="1"/>
    <xf numFmtId="0" fontId="10" fillId="14" borderId="4" xfId="0" applyNumberFormat="1" applyFont="1" applyFill="1" applyBorder="1" applyAlignment="1" applyProtection="1"/>
    <xf numFmtId="0" fontId="10" fillId="20" borderId="0" xfId="0" applyNumberFormat="1" applyFont="1" applyFill="1" applyBorder="1" applyAlignment="1" applyProtection="1"/>
    <xf numFmtId="167" fontId="10" fillId="20" borderId="0" xfId="0" applyNumberFormat="1" applyFont="1" applyFill="1" applyBorder="1" applyAlignment="1" applyProtection="1"/>
    <xf numFmtId="164" fontId="10" fillId="20" borderId="0" xfId="0" applyNumberFormat="1" applyFont="1" applyFill="1" applyBorder="1" applyAlignment="1" applyProtection="1"/>
    <xf numFmtId="0" fontId="10" fillId="0" borderId="4" xfId="0" applyNumberFormat="1" applyFont="1" applyFill="1" applyBorder="1" applyAlignment="1" applyProtection="1"/>
    <xf numFmtId="0" fontId="10" fillId="0" borderId="5" xfId="0" applyNumberFormat="1" applyFont="1" applyFill="1" applyBorder="1" applyAlignment="1" applyProtection="1"/>
    <xf numFmtId="43" fontId="10" fillId="0" borderId="0" xfId="0" applyNumberFormat="1" applyFont="1" applyFill="1" applyBorder="1" applyAlignment="1" applyProtection="1"/>
    <xf numFmtId="0" fontId="10" fillId="15" borderId="4" xfId="0" applyNumberFormat="1" applyFont="1" applyFill="1" applyBorder="1" applyAlignment="1" applyProtection="1"/>
    <xf numFmtId="167" fontId="10" fillId="15" borderId="0" xfId="0" applyNumberFormat="1" applyFont="1" applyFill="1" applyBorder="1" applyAlignment="1" applyProtection="1"/>
    <xf numFmtId="167" fontId="10" fillId="15" borderId="5" xfId="0" applyNumberFormat="1" applyFont="1" applyFill="1" applyBorder="1" applyAlignment="1" applyProtection="1"/>
    <xf numFmtId="167" fontId="10" fillId="18" borderId="0" xfId="0" applyNumberFormat="1" applyFont="1" applyFill="1" applyBorder="1" applyAlignment="1" applyProtection="1"/>
    <xf numFmtId="3" fontId="10" fillId="15" borderId="0" xfId="0" applyNumberFormat="1" applyFont="1" applyFill="1" applyBorder="1" applyAlignment="1" applyProtection="1"/>
    <xf numFmtId="3" fontId="10" fillId="18" borderId="0" xfId="0" applyNumberFormat="1" applyFont="1" applyFill="1" applyBorder="1" applyAlignment="1" applyProtection="1"/>
    <xf numFmtId="0" fontId="10" fillId="15" borderId="0" xfId="0" applyNumberFormat="1" applyFont="1" applyFill="1" applyBorder="1" applyAlignment="1" applyProtection="1"/>
    <xf numFmtId="0" fontId="10" fillId="15" borderId="5" xfId="0" applyNumberFormat="1" applyFont="1" applyFill="1" applyBorder="1" applyAlignment="1" applyProtection="1"/>
    <xf numFmtId="164" fontId="10" fillId="15" borderId="0" xfId="0" applyNumberFormat="1" applyFont="1" applyFill="1" applyBorder="1" applyAlignment="1" applyProtection="1"/>
    <xf numFmtId="164" fontId="10" fillId="18" borderId="0" xfId="0" applyNumberFormat="1" applyFont="1" applyFill="1" applyBorder="1" applyAlignment="1" applyProtection="1"/>
    <xf numFmtId="164" fontId="10" fillId="0" borderId="0" xfId="0" applyNumberFormat="1" applyFont="1" applyFill="1" applyBorder="1" applyAlignment="1" applyProtection="1"/>
    <xf numFmtId="0" fontId="10" fillId="0" borderId="6" xfId="0" applyNumberFormat="1" applyFont="1" applyFill="1" applyBorder="1" applyAlignment="1" applyProtection="1"/>
    <xf numFmtId="167" fontId="10" fillId="0" borderId="7" xfId="0" applyNumberFormat="1" applyFont="1" applyFill="1" applyBorder="1" applyAlignment="1" applyProtection="1"/>
    <xf numFmtId="0" fontId="10" fillId="16" borderId="0" xfId="0" applyNumberFormat="1" applyFont="1" applyFill="1" applyBorder="1" applyAlignment="1" applyProtection="1"/>
    <xf numFmtId="43" fontId="10" fillId="16" borderId="0" xfId="1" applyFont="1" applyFill="1" applyBorder="1" applyAlignment="1" applyProtection="1"/>
    <xf numFmtId="43" fontId="10" fillId="0" borderId="9" xfId="1" applyFont="1" applyFill="1" applyBorder="1" applyAlignment="1" applyProtection="1"/>
    <xf numFmtId="0" fontId="10" fillId="0" borderId="10" xfId="0" applyNumberFormat="1" applyFont="1" applyFill="1" applyBorder="1" applyAlignment="1" applyProtection="1"/>
    <xf numFmtId="43" fontId="10" fillId="0" borderId="0" xfId="1" applyFont="1" applyFill="1" applyBorder="1" applyAlignment="1" applyProtection="1"/>
    <xf numFmtId="2" fontId="10" fillId="16" borderId="0" xfId="0" applyNumberFormat="1" applyFont="1" applyFill="1" applyBorder="1" applyAlignment="1" applyProtection="1"/>
    <xf numFmtId="0" fontId="10" fillId="0" borderId="12" xfId="0" applyNumberFormat="1" applyFont="1" applyFill="1" applyBorder="1" applyAlignment="1" applyProtection="1"/>
    <xf numFmtId="2" fontId="10" fillId="0" borderId="13" xfId="0" applyNumberFormat="1" applyFont="1" applyFill="1" applyBorder="1" applyAlignment="1" applyProtection="1"/>
    <xf numFmtId="0" fontId="10" fillId="17" borderId="1" xfId="0" applyNumberFormat="1" applyFont="1" applyFill="1" applyBorder="1" applyAlignment="1" applyProtection="1"/>
    <xf numFmtId="43" fontId="10" fillId="19" borderId="9" xfId="0" applyNumberFormat="1" applyFont="1" applyFill="1" applyBorder="1" applyAlignment="1" applyProtection="1"/>
    <xf numFmtId="0" fontId="10" fillId="0" borderId="11" xfId="0" applyNumberFormat="1" applyFont="1" applyFill="1" applyBorder="1" applyAlignment="1" applyProtection="1"/>
    <xf numFmtId="0" fontId="10" fillId="17" borderId="4" xfId="0" applyNumberFormat="1" applyFont="1" applyFill="1" applyBorder="1" applyAlignment="1" applyProtection="1"/>
    <xf numFmtId="0" fontId="10" fillId="4" borderId="0" xfId="0" applyNumberFormat="1" applyFont="1" applyFill="1" applyBorder="1" applyAlignment="1" applyProtection="1"/>
    <xf numFmtId="0" fontId="10" fillId="4" borderId="11" xfId="0" applyNumberFormat="1" applyFont="1" applyFill="1" applyBorder="1" applyAlignment="1" applyProtection="1"/>
    <xf numFmtId="0" fontId="10" fillId="9" borderId="12" xfId="0" applyNumberFormat="1" applyFont="1" applyFill="1" applyBorder="1" applyAlignment="1" applyProtection="1"/>
    <xf numFmtId="167" fontId="10" fillId="9" borderId="13" xfId="0" applyNumberFormat="1" applyFont="1" applyFill="1" applyBorder="1" applyAlignment="1" applyProtection="1"/>
  </cellXfs>
  <cellStyles count="4">
    <cellStyle name="Comma" xfId="1" builtinId="3"/>
    <cellStyle name="Currency" xfId="2" builtinId="4"/>
    <cellStyle name="Normal" xfId="0" builtinId="0"/>
    <cellStyle name="Normal 2" xfId="3" xr:uid="{0F13462E-202B-4EF4-894B-9DF1E7C53AAC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 Shopping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Supplies'!$G$18:$I$18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Supplies'!$G$19:$I$19</c:f>
              <c:numCache>
                <c:formatCode>_-[$$-409]* #,##0.00_ ;_-[$$-409]* \-#,##0.00\ ;_-[$$-409]* "-"??_ ;_-@_ 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7-482D-9F4D-BDAD8E698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324736"/>
        <c:axId val="1458323776"/>
      </c:barChart>
      <c:catAx>
        <c:axId val="14583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323776"/>
        <c:crosses val="autoZero"/>
        <c:auto val="1"/>
        <c:lblAlgn val="ctr"/>
        <c:lblOffset val="100"/>
        <c:noMultiLvlLbl val="0"/>
      </c:catAx>
      <c:valAx>
        <c:axId val="14583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32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</a:t>
            </a:r>
            <a:r>
              <a:rPr lang="en-US" baseline="0"/>
              <a:t> Shopping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Supplies'!$L$18:$N$18</c:f>
              <c:strCache>
                <c:ptCount val="3"/>
                <c:pt idx="0">
                  <c:v> WaltMart </c:v>
                </c:pt>
                <c:pt idx="1">
                  <c:v> Dollar Trap </c:v>
                </c:pt>
                <c:pt idx="2">
                  <c:v> Office Repo </c:v>
                </c:pt>
              </c:strCache>
            </c:strRef>
          </c:cat>
          <c:val>
            <c:numRef>
              <c:f>'School Supplies'!$L$19:$N$19</c:f>
              <c:numCache>
                <c:formatCode>_-[$$-409]* #,##0.00_ ;_-[$$-409]* \-#,##0.00\ ;_-[$$-409]* "-"??_ ;_-@_ </c:formatCode>
                <c:ptCount val="3"/>
                <c:pt idx="0">
                  <c:v>327.92</c:v>
                </c:pt>
                <c:pt idx="1">
                  <c:v>353.11999999999995</c:v>
                </c:pt>
                <c:pt idx="2">
                  <c:v>420.57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B-41BB-A512-361166B3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290656"/>
        <c:axId val="1458290176"/>
      </c:barChart>
      <c:catAx>
        <c:axId val="14582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90176"/>
        <c:crosses val="autoZero"/>
        <c:auto val="1"/>
        <c:lblAlgn val="ctr"/>
        <c:lblOffset val="100"/>
        <c:noMultiLvlLbl val="0"/>
      </c:catAx>
      <c:valAx>
        <c:axId val="14582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9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'Dog and Cat'!$B$17:$C$17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'Dog and Cat'!$B$18:$C$18</c:f>
              <c:numCache>
                <c:formatCode>_-[$$-409]* #,##0.00_ ;_-[$$-409]* \-#,##0.00\ ;_-[$$-409]* "-"??_ ;_-@_ </c:formatCode>
                <c:ptCount val="2"/>
                <c:pt idx="0">
                  <c:v>643.5</c:v>
                </c:pt>
                <c:pt idx="1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3-4BE1-BB65-04232808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502368"/>
        <c:axId val="1648501408"/>
      </c:barChart>
      <c:catAx>
        <c:axId val="16485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01408"/>
        <c:crosses val="autoZero"/>
        <c:auto val="1"/>
        <c:lblAlgn val="ctr"/>
        <c:lblOffset val="100"/>
        <c:noMultiLvlLbl val="0"/>
      </c:catAx>
      <c:valAx>
        <c:axId val="16485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 Vacation Expenses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Vacations!$A$27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Vacations!$B$1:$D$1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Vacations!$B$27:$D$27</c:f>
              <c:numCache>
                <c:formatCode>_-[$$-409]* #,##0.00_ ;_-[$$-409]* \-#,##0.00\ ;_-[$$-409]* "-"??_ ;_-@_ </c:formatCode>
                <c:ptCount val="3"/>
                <c:pt idx="0">
                  <c:v>1681</c:v>
                </c:pt>
                <c:pt idx="1">
                  <c:v>2456</c:v>
                </c:pt>
                <c:pt idx="2">
                  <c:v>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C-41A3-9534-8DE2F45D0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487008"/>
        <c:axId val="1648485568"/>
      </c:barChart>
      <c:catAx>
        <c:axId val="16484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485568"/>
        <c:crosses val="autoZero"/>
        <c:auto val="1"/>
        <c:lblAlgn val="ctr"/>
        <c:lblOffset val="100"/>
        <c:noMultiLvlLbl val="0"/>
      </c:catAx>
      <c:valAx>
        <c:axId val="16484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48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</a:t>
            </a:r>
            <a:r>
              <a:rPr lang="en-US" baseline="0"/>
              <a:t> vacation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Vacations!$G$27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Vacations!$H$1:$J$1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Vacations!$H$27:$J$27</c:f>
              <c:numCache>
                <c:formatCode>_-[$$-409]* #,##0.00_ ;_-[$$-409]* \-#,##0.00\ ;_-[$$-409]* "-"??_ ;_-@_ </c:formatCode>
                <c:ptCount val="3"/>
                <c:pt idx="0">
                  <c:v>2881</c:v>
                </c:pt>
                <c:pt idx="1">
                  <c:v>3656</c:v>
                </c:pt>
                <c:pt idx="2">
                  <c:v>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C-41D4-A600-F6E355BF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571968"/>
        <c:axId val="1648572928"/>
      </c:barChart>
      <c:catAx>
        <c:axId val="16485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72928"/>
        <c:crosses val="autoZero"/>
        <c:auto val="1"/>
        <c:lblAlgn val="ctr"/>
        <c:lblOffset val="100"/>
        <c:noMultiLvlLbl val="0"/>
      </c:catAx>
      <c:valAx>
        <c:axId val="1648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Printers!$B$13:$D$13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Printers!$B$14:$D$14</c:f>
              <c:numCache>
                <c:formatCode>_-[$$-409]* #,##0.00_ ;_-[$$-409]* \-#,##0.00\ ;_-[$$-409]* "-"??_ ;_-@_ 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C-4068-8C66-9F21CA06C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485088"/>
        <c:axId val="1648487968"/>
      </c:barChart>
      <c:catAx>
        <c:axId val="16484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487968"/>
        <c:crosses val="autoZero"/>
        <c:auto val="1"/>
        <c:lblAlgn val="ctr"/>
        <c:lblOffset val="100"/>
        <c:noMultiLvlLbl val="0"/>
      </c:catAx>
      <c:valAx>
        <c:axId val="16484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48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Printers!$G$13:$I$13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Printers!$G$14:$I$14</c:f>
              <c:numCache>
                <c:formatCode>_-[$$-409]* #,##0.00_ ;_-[$$-409]* \-#,##0.00\ ;_-[$$-409]* "-"??_ ;_-@_ 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56B-8BC1-C084ADCFF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574848"/>
        <c:axId val="1648575328"/>
      </c:barChart>
      <c:catAx>
        <c:axId val="16485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75328"/>
        <c:crosses val="autoZero"/>
        <c:auto val="1"/>
        <c:lblAlgn val="ctr"/>
        <c:lblOffset val="100"/>
        <c:noMultiLvlLbl val="0"/>
      </c:catAx>
      <c:valAx>
        <c:axId val="16485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485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 Car</a:t>
            </a:r>
          </a:p>
        </c:rich>
      </c:tx>
      <c:layout>
        <c:manualLayout>
          <c:xMode val="edge"/>
          <c:yMode val="edge"/>
          <c:x val="0.3935492063492063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Cars!$H$27:$J$27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Cars!$H$28:$J$28</c:f>
              <c:numCache>
                <c:formatCode>_-"$"* #,##0.00_-;\-"$"* #,##0.00_-;_-"$"* "-"??_-;_-@_-</c:formatCode>
                <c:ptCount val="3"/>
                <c:pt idx="0">
                  <c:v>7748.5714285714284</c:v>
                </c:pt>
                <c:pt idx="1">
                  <c:v>14695.78947368421</c:v>
                </c:pt>
                <c:pt idx="2">
                  <c:v>23568.823529411766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F-400F-8E9F-4917037E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58279136"/>
        <c:axId val="1458282496"/>
        <c:axId val="0"/>
      </c:bar3DChart>
      <c:catAx>
        <c:axId val="14582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82496"/>
        <c:crosses val="autoZero"/>
        <c:auto val="1"/>
        <c:lblAlgn val="ctr"/>
        <c:lblOffset val="100"/>
        <c:noMultiLvlLbl val="0"/>
      </c:catAx>
      <c:valAx>
        <c:axId val="14582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7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Cars!$B$27:$D$27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Cars!$B$28:$D$28</c:f>
              <c:numCache>
                <c:formatCode>_-"$"* #,##0.00_-;\-"$"* #,##0.00_-;_-"$"* "-"??_-;_-@_-</c:formatCode>
                <c:ptCount val="3"/>
                <c:pt idx="0">
                  <c:v>7052.5714285714284</c:v>
                </c:pt>
                <c:pt idx="1">
                  <c:v>13207.78947368421</c:v>
                </c:pt>
                <c:pt idx="2">
                  <c:v>20112.823529411766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A-4528-BAA4-F410FCB6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25534688"/>
        <c:axId val="1425535168"/>
        <c:axId val="0"/>
      </c:bar3DChart>
      <c:catAx>
        <c:axId val="14255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5535168"/>
        <c:crosses val="autoZero"/>
        <c:auto val="1"/>
        <c:lblAlgn val="ctr"/>
        <c:lblOffset val="100"/>
        <c:noMultiLvlLbl val="0"/>
      </c:catAx>
      <c:valAx>
        <c:axId val="14255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55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20</xdr:row>
      <xdr:rowOff>23812</xdr:rowOff>
    </xdr:from>
    <xdr:to>
      <xdr:col>9</xdr:col>
      <xdr:colOff>0</xdr:colOff>
      <xdr:row>34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76CC2-4ADB-3728-71AC-F788B6C03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20</xdr:row>
      <xdr:rowOff>33337</xdr:rowOff>
    </xdr:from>
    <xdr:to>
      <xdr:col>16</xdr:col>
      <xdr:colOff>419100</xdr:colOff>
      <xdr:row>34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4BAA9-B674-3443-E170-B1331BCB0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423862</xdr:rowOff>
    </xdr:from>
    <xdr:to>
      <xdr:col>11</xdr:col>
      <xdr:colOff>142875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EA37E-EDC8-4279-B18F-AA69C83A4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27</xdr:row>
      <xdr:rowOff>185737</xdr:rowOff>
    </xdr:from>
    <xdr:to>
      <xdr:col>4</xdr:col>
      <xdr:colOff>0</xdr:colOff>
      <xdr:row>42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CF4AB-E487-14CE-DD95-D47A530F1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595312</xdr:colOff>
      <xdr:row>27</xdr:row>
      <xdr:rowOff>176212</xdr:rowOff>
    </xdr:from>
    <xdr:to>
      <xdr:col>10</xdr:col>
      <xdr:colOff>14287</xdr:colOff>
      <xdr:row>42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1140D-5834-DBA8-DAB9-E7C6216A7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9526</xdr:rowOff>
    </xdr:from>
    <xdr:to>
      <xdr:col>4</xdr:col>
      <xdr:colOff>38100</xdr:colOff>
      <xdr:row>32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2F257-92B4-3B7E-EEED-E04D12466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19</xdr:row>
      <xdr:rowOff>171450</xdr:rowOff>
    </xdr:from>
    <xdr:to>
      <xdr:col>9</xdr:col>
      <xdr:colOff>9525</xdr:colOff>
      <xdr:row>32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265E8-865F-0028-0ED0-C7EF4938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28</xdr:row>
      <xdr:rowOff>195262</xdr:rowOff>
    </xdr:from>
    <xdr:to>
      <xdr:col>9</xdr:col>
      <xdr:colOff>1047749</xdr:colOff>
      <xdr:row>43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60D97-9FB7-D9EE-92EB-76F4FED15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29</xdr:row>
      <xdr:rowOff>14287</xdr:rowOff>
    </xdr:from>
    <xdr:to>
      <xdr:col>4</xdr:col>
      <xdr:colOff>0</xdr:colOff>
      <xdr:row>43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6665DD-2438-7932-0B92-9F0F1B58E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B4C1-C599-4496-8570-18F1A96493A6}">
  <sheetPr>
    <pageSetUpPr fitToPage="1"/>
  </sheetPr>
  <dimension ref="A2:N19"/>
  <sheetViews>
    <sheetView zoomScaleNormal="100" zoomScaleSheetLayoutView="80" workbookViewId="0">
      <selection activeCell="E7" sqref="E7"/>
    </sheetView>
  </sheetViews>
  <sheetFormatPr defaultRowHeight="15"/>
  <cols>
    <col min="1" max="1" width="20.42578125" bestFit="1" customWidth="1"/>
    <col min="2" max="2" width="13" bestFit="1" customWidth="1"/>
    <col min="3" max="3" width="15.5703125" bestFit="1" customWidth="1"/>
    <col min="4" max="4" width="17.5703125" bestFit="1" customWidth="1"/>
    <col min="6" max="6" width="9.42578125" bestFit="1" customWidth="1"/>
    <col min="7" max="7" width="14.7109375" bestFit="1" customWidth="1"/>
    <col min="8" max="8" width="17.5703125" bestFit="1" customWidth="1"/>
    <col min="9" max="9" width="18.42578125" bestFit="1" customWidth="1"/>
    <col min="11" max="11" width="8.42578125" bestFit="1" customWidth="1"/>
    <col min="12" max="12" width="14.7109375" bestFit="1" customWidth="1"/>
    <col min="13" max="13" width="17.5703125" bestFit="1" customWidth="1"/>
    <col min="14" max="14" width="18.42578125" bestFit="1" customWidth="1"/>
  </cols>
  <sheetData>
    <row r="2" spans="1:14">
      <c r="B2" s="10" t="s">
        <v>0</v>
      </c>
      <c r="C2" s="10" t="s">
        <v>1</v>
      </c>
      <c r="D2" s="10" t="s">
        <v>2</v>
      </c>
      <c r="F2" s="8" t="s">
        <v>3</v>
      </c>
      <c r="G2" s="8" t="s">
        <v>0</v>
      </c>
      <c r="H2" s="8" t="s">
        <v>1</v>
      </c>
      <c r="I2" s="8" t="s">
        <v>20</v>
      </c>
      <c r="K2" s="9" t="s">
        <v>21</v>
      </c>
      <c r="L2" s="9" t="s">
        <v>0</v>
      </c>
      <c r="M2" s="9" t="s">
        <v>1</v>
      </c>
      <c r="N2" s="9" t="s">
        <v>20</v>
      </c>
    </row>
    <row r="3" spans="1:14">
      <c r="A3" s="11" t="s">
        <v>4</v>
      </c>
      <c r="B3" s="12">
        <v>0.5</v>
      </c>
      <c r="C3" s="12">
        <v>0.4</v>
      </c>
      <c r="D3" s="12">
        <v>1.4</v>
      </c>
      <c r="F3" s="6">
        <v>3</v>
      </c>
      <c r="G3" s="7">
        <f>B3*F3</f>
        <v>1.5</v>
      </c>
      <c r="H3" s="7">
        <f>C3*F3</f>
        <v>1.2000000000000002</v>
      </c>
      <c r="I3" s="7">
        <f>D3*F3</f>
        <v>4.1999999999999993</v>
      </c>
      <c r="K3" s="3">
        <v>5</v>
      </c>
      <c r="L3" s="4">
        <f>G3*K3</f>
        <v>7.5</v>
      </c>
      <c r="M3" s="4">
        <f>H3*K3</f>
        <v>6.0000000000000009</v>
      </c>
      <c r="N3" s="4">
        <f>I3*K3</f>
        <v>20.999999999999996</v>
      </c>
    </row>
    <row r="4" spans="1:14">
      <c r="A4" s="11" t="s">
        <v>5</v>
      </c>
      <c r="B4" s="12">
        <v>28</v>
      </c>
      <c r="C4" s="12">
        <v>33</v>
      </c>
      <c r="D4" s="13">
        <v>31</v>
      </c>
      <c r="F4" s="6">
        <v>1</v>
      </c>
      <c r="G4" s="7">
        <f t="shared" ref="G4:G17" si="0">B4*F4</f>
        <v>28</v>
      </c>
      <c r="H4" s="7">
        <f t="shared" ref="H4:H17" si="1">C4*F4</f>
        <v>33</v>
      </c>
      <c r="I4" s="7">
        <f t="shared" ref="I4:I17" si="2">D4*F4</f>
        <v>31</v>
      </c>
      <c r="K4" s="3">
        <v>2</v>
      </c>
      <c r="L4" s="4">
        <f t="shared" ref="L4:L17" si="3">G4*K4</f>
        <v>56</v>
      </c>
      <c r="M4" s="4">
        <f t="shared" ref="M4:M17" si="4">H4*K4</f>
        <v>66</v>
      </c>
      <c r="N4" s="4">
        <f t="shared" ref="N4:N17" si="5">I4*K4</f>
        <v>62</v>
      </c>
    </row>
    <row r="5" spans="1:14">
      <c r="A5" s="11" t="s">
        <v>6</v>
      </c>
      <c r="B5" s="12">
        <v>1.8</v>
      </c>
      <c r="C5" s="12">
        <v>1</v>
      </c>
      <c r="D5" s="12">
        <v>2</v>
      </c>
      <c r="F5" s="6">
        <v>7</v>
      </c>
      <c r="G5" s="7">
        <f t="shared" si="0"/>
        <v>12.6</v>
      </c>
      <c r="H5" s="7">
        <f t="shared" si="1"/>
        <v>7</v>
      </c>
      <c r="I5" s="7">
        <f t="shared" si="2"/>
        <v>14</v>
      </c>
      <c r="K5" s="3">
        <v>3</v>
      </c>
      <c r="L5" s="4">
        <f t="shared" si="3"/>
        <v>37.799999999999997</v>
      </c>
      <c r="M5" s="4">
        <f t="shared" si="4"/>
        <v>21</v>
      </c>
      <c r="N5" s="4">
        <f t="shared" si="5"/>
        <v>42</v>
      </c>
    </row>
    <row r="6" spans="1:14">
      <c r="A6" s="11" t="s">
        <v>7</v>
      </c>
      <c r="B6" s="12">
        <v>1.2</v>
      </c>
      <c r="C6" s="12">
        <v>0.8</v>
      </c>
      <c r="D6" s="12">
        <v>1.5</v>
      </c>
      <c r="F6" s="6">
        <v>1</v>
      </c>
      <c r="G6" s="7">
        <f t="shared" si="0"/>
        <v>1.2</v>
      </c>
      <c r="H6" s="7">
        <f t="shared" si="1"/>
        <v>0.8</v>
      </c>
      <c r="I6" s="7">
        <f t="shared" si="2"/>
        <v>1.5</v>
      </c>
      <c r="K6" s="3">
        <v>11</v>
      </c>
      <c r="L6" s="4">
        <f t="shared" si="3"/>
        <v>13.2</v>
      </c>
      <c r="M6" s="4">
        <f t="shared" si="4"/>
        <v>8.8000000000000007</v>
      </c>
      <c r="N6" s="4">
        <f t="shared" si="5"/>
        <v>16.5</v>
      </c>
    </row>
    <row r="7" spans="1:14">
      <c r="A7" s="11" t="s">
        <v>8</v>
      </c>
      <c r="B7" s="12">
        <v>2.4</v>
      </c>
      <c r="C7" s="12">
        <v>1.4</v>
      </c>
      <c r="D7" s="12">
        <v>2.4</v>
      </c>
      <c r="E7" t="s">
        <v>60</v>
      </c>
      <c r="F7" s="6">
        <v>2</v>
      </c>
      <c r="G7" s="7">
        <f t="shared" si="0"/>
        <v>4.8</v>
      </c>
      <c r="H7" s="7">
        <f t="shared" si="1"/>
        <v>2.8</v>
      </c>
      <c r="I7" s="7">
        <f t="shared" si="2"/>
        <v>4.8</v>
      </c>
      <c r="K7" s="3">
        <v>2</v>
      </c>
      <c r="L7" s="4">
        <f t="shared" si="3"/>
        <v>9.6</v>
      </c>
      <c r="M7" s="4">
        <f t="shared" si="4"/>
        <v>5.6</v>
      </c>
      <c r="N7" s="4">
        <f t="shared" si="5"/>
        <v>9.6</v>
      </c>
    </row>
    <row r="8" spans="1:14">
      <c r="A8" s="11" t="s">
        <v>9</v>
      </c>
      <c r="B8" s="12">
        <v>0.9</v>
      </c>
      <c r="C8" s="12">
        <v>0.2</v>
      </c>
      <c r="D8" s="12">
        <v>0.8</v>
      </c>
      <c r="F8" s="6">
        <v>2</v>
      </c>
      <c r="G8" s="7">
        <f t="shared" si="0"/>
        <v>1.8</v>
      </c>
      <c r="H8" s="7">
        <f t="shared" si="1"/>
        <v>0.4</v>
      </c>
      <c r="I8" s="7">
        <f t="shared" si="2"/>
        <v>1.6</v>
      </c>
      <c r="K8" s="3">
        <v>2</v>
      </c>
      <c r="L8" s="4">
        <f t="shared" si="3"/>
        <v>3.6</v>
      </c>
      <c r="M8" s="4">
        <f t="shared" si="4"/>
        <v>0.8</v>
      </c>
      <c r="N8" s="4">
        <f t="shared" si="5"/>
        <v>3.2</v>
      </c>
    </row>
    <row r="9" spans="1:14">
      <c r="A9" s="11" t="s">
        <v>10</v>
      </c>
      <c r="B9" s="12">
        <v>0.99</v>
      </c>
      <c r="C9" s="12">
        <v>0.59</v>
      </c>
      <c r="D9" s="12">
        <v>2.29</v>
      </c>
      <c r="F9" s="6">
        <v>1</v>
      </c>
      <c r="G9" s="7">
        <f t="shared" si="0"/>
        <v>0.99</v>
      </c>
      <c r="H9" s="7">
        <f t="shared" si="1"/>
        <v>0.59</v>
      </c>
      <c r="I9" s="7">
        <f t="shared" si="2"/>
        <v>2.29</v>
      </c>
      <c r="K9" s="3">
        <v>3</v>
      </c>
      <c r="L9" s="4">
        <f t="shared" si="3"/>
        <v>2.9699999999999998</v>
      </c>
      <c r="M9" s="4">
        <f t="shared" si="4"/>
        <v>1.77</v>
      </c>
      <c r="N9" s="4">
        <f t="shared" si="5"/>
        <v>6.87</v>
      </c>
    </row>
    <row r="10" spans="1:14">
      <c r="A10" s="11" t="s">
        <v>11</v>
      </c>
      <c r="B10" s="12">
        <v>1.25</v>
      </c>
      <c r="C10" s="12">
        <v>3.25</v>
      </c>
      <c r="D10" s="12">
        <v>2.15</v>
      </c>
      <c r="F10" s="6">
        <v>4</v>
      </c>
      <c r="G10" s="7">
        <f t="shared" si="0"/>
        <v>5</v>
      </c>
      <c r="H10" s="7">
        <f t="shared" si="1"/>
        <v>13</v>
      </c>
      <c r="I10" s="7">
        <f t="shared" si="2"/>
        <v>8.6</v>
      </c>
      <c r="K10" s="3">
        <v>4</v>
      </c>
      <c r="L10" s="4">
        <f t="shared" si="3"/>
        <v>20</v>
      </c>
      <c r="M10" s="4">
        <f t="shared" si="4"/>
        <v>52</v>
      </c>
      <c r="N10" s="4">
        <f t="shared" si="5"/>
        <v>34.4</v>
      </c>
    </row>
    <row r="11" spans="1:14">
      <c r="A11" s="11" t="s">
        <v>12</v>
      </c>
      <c r="B11" s="12">
        <v>9.5</v>
      </c>
      <c r="C11" s="12">
        <v>14</v>
      </c>
      <c r="D11" s="12">
        <v>13</v>
      </c>
      <c r="F11" s="6">
        <v>1</v>
      </c>
      <c r="G11" s="7">
        <f t="shared" si="0"/>
        <v>9.5</v>
      </c>
      <c r="H11" s="7">
        <f t="shared" si="1"/>
        <v>14</v>
      </c>
      <c r="I11" s="7">
        <f t="shared" si="2"/>
        <v>13</v>
      </c>
      <c r="K11" s="3">
        <v>8</v>
      </c>
      <c r="L11" s="4">
        <f t="shared" si="3"/>
        <v>76</v>
      </c>
      <c r="M11" s="4">
        <f t="shared" si="4"/>
        <v>112</v>
      </c>
      <c r="N11" s="4">
        <f t="shared" si="5"/>
        <v>104</v>
      </c>
    </row>
    <row r="12" spans="1:14">
      <c r="A12" s="11" t="s">
        <v>13</v>
      </c>
      <c r="B12" s="12">
        <v>4.55</v>
      </c>
      <c r="C12" s="12">
        <v>2.5499999999999998</v>
      </c>
      <c r="D12" s="12">
        <v>6</v>
      </c>
      <c r="F12" s="6">
        <v>1</v>
      </c>
      <c r="G12" s="7">
        <f t="shared" si="0"/>
        <v>4.55</v>
      </c>
      <c r="H12" s="7">
        <f t="shared" si="1"/>
        <v>2.5499999999999998</v>
      </c>
      <c r="I12" s="7">
        <f t="shared" si="2"/>
        <v>6</v>
      </c>
      <c r="K12" s="3">
        <v>5</v>
      </c>
      <c r="L12" s="4">
        <f t="shared" si="3"/>
        <v>22.75</v>
      </c>
      <c r="M12" s="4">
        <f t="shared" si="4"/>
        <v>12.75</v>
      </c>
      <c r="N12" s="4">
        <f t="shared" si="5"/>
        <v>30</v>
      </c>
    </row>
    <row r="13" spans="1:14">
      <c r="A13" s="11" t="s">
        <v>14</v>
      </c>
      <c r="B13" s="12">
        <v>4.2</v>
      </c>
      <c r="C13" s="12">
        <v>2.2000000000000002</v>
      </c>
      <c r="D13" s="12">
        <v>3</v>
      </c>
      <c r="F13" s="6">
        <v>1</v>
      </c>
      <c r="G13" s="7">
        <f t="shared" si="0"/>
        <v>4.2</v>
      </c>
      <c r="H13" s="7">
        <f t="shared" si="1"/>
        <v>2.2000000000000002</v>
      </c>
      <c r="I13" s="7">
        <f t="shared" si="2"/>
        <v>3</v>
      </c>
      <c r="K13" s="3">
        <v>7</v>
      </c>
      <c r="L13" s="4">
        <f t="shared" si="3"/>
        <v>29.400000000000002</v>
      </c>
      <c r="M13" s="4">
        <f t="shared" si="4"/>
        <v>15.400000000000002</v>
      </c>
      <c r="N13" s="4">
        <f t="shared" si="5"/>
        <v>21</v>
      </c>
    </row>
    <row r="14" spans="1:14">
      <c r="A14" s="11" t="s">
        <v>15</v>
      </c>
      <c r="B14" s="12">
        <v>3.9</v>
      </c>
      <c r="C14" s="12">
        <v>5</v>
      </c>
      <c r="D14" s="12">
        <v>8</v>
      </c>
      <c r="F14" s="6">
        <v>1</v>
      </c>
      <c r="G14" s="7">
        <f t="shared" si="0"/>
        <v>3.9</v>
      </c>
      <c r="H14" s="7">
        <f t="shared" si="1"/>
        <v>5</v>
      </c>
      <c r="I14" s="7">
        <f t="shared" si="2"/>
        <v>8</v>
      </c>
      <c r="K14" s="3">
        <v>4</v>
      </c>
      <c r="L14" s="4">
        <f t="shared" si="3"/>
        <v>15.6</v>
      </c>
      <c r="M14" s="4">
        <f t="shared" si="4"/>
        <v>20</v>
      </c>
      <c r="N14" s="4">
        <f t="shared" si="5"/>
        <v>32</v>
      </c>
    </row>
    <row r="15" spans="1:14">
      <c r="A15" s="11" t="s">
        <v>16</v>
      </c>
      <c r="B15" s="12">
        <v>1</v>
      </c>
      <c r="C15" s="12">
        <v>2</v>
      </c>
      <c r="D15" s="12">
        <v>1</v>
      </c>
      <c r="F15" s="6">
        <v>1</v>
      </c>
      <c r="G15" s="7">
        <f t="shared" si="0"/>
        <v>1</v>
      </c>
      <c r="H15" s="7">
        <f t="shared" si="1"/>
        <v>2</v>
      </c>
      <c r="I15" s="7">
        <f t="shared" si="2"/>
        <v>1</v>
      </c>
      <c r="K15" s="3">
        <v>5</v>
      </c>
      <c r="L15" s="4">
        <f t="shared" si="3"/>
        <v>5</v>
      </c>
      <c r="M15" s="4">
        <f t="shared" si="4"/>
        <v>10</v>
      </c>
      <c r="N15" s="4">
        <f t="shared" si="5"/>
        <v>5</v>
      </c>
    </row>
    <row r="16" spans="1:14">
      <c r="A16" s="11" t="s">
        <v>17</v>
      </c>
      <c r="B16" s="12">
        <v>1.75</v>
      </c>
      <c r="C16" s="12">
        <v>2</v>
      </c>
      <c r="D16" s="12">
        <v>1</v>
      </c>
      <c r="F16" s="6">
        <v>1</v>
      </c>
      <c r="G16" s="7">
        <f t="shared" si="0"/>
        <v>1.75</v>
      </c>
      <c r="H16" s="7">
        <f t="shared" si="1"/>
        <v>2</v>
      </c>
      <c r="I16" s="7">
        <f t="shared" si="2"/>
        <v>1</v>
      </c>
      <c r="K16" s="3">
        <v>6</v>
      </c>
      <c r="L16" s="4">
        <f t="shared" si="3"/>
        <v>10.5</v>
      </c>
      <c r="M16" s="4">
        <f t="shared" si="4"/>
        <v>12</v>
      </c>
      <c r="N16" s="4">
        <f t="shared" si="5"/>
        <v>6</v>
      </c>
    </row>
    <row r="17" spans="1:14">
      <c r="A17" s="11" t="s">
        <v>18</v>
      </c>
      <c r="B17" s="12">
        <v>2</v>
      </c>
      <c r="C17" s="12">
        <v>1</v>
      </c>
      <c r="D17" s="12">
        <v>3</v>
      </c>
      <c r="F17" s="6">
        <v>1</v>
      </c>
      <c r="G17" s="7">
        <f t="shared" si="0"/>
        <v>2</v>
      </c>
      <c r="H17" s="7">
        <f t="shared" si="1"/>
        <v>1</v>
      </c>
      <c r="I17" s="7">
        <f t="shared" si="2"/>
        <v>3</v>
      </c>
      <c r="K17" s="3">
        <v>9</v>
      </c>
      <c r="L17" s="4">
        <f t="shared" si="3"/>
        <v>18</v>
      </c>
      <c r="M17" s="4">
        <f t="shared" si="4"/>
        <v>9</v>
      </c>
      <c r="N17" s="4">
        <f t="shared" si="5"/>
        <v>27</v>
      </c>
    </row>
    <row r="18" spans="1:14">
      <c r="B18" s="1"/>
      <c r="C18" s="1"/>
      <c r="D18" s="1"/>
      <c r="F18" s="8"/>
      <c r="G18" s="8" t="s">
        <v>0</v>
      </c>
      <c r="H18" s="8" t="s">
        <v>1</v>
      </c>
      <c r="I18" s="8" t="s">
        <v>20</v>
      </c>
      <c r="J18" s="10"/>
      <c r="K18" s="14"/>
      <c r="L18" s="15" t="s">
        <v>0</v>
      </c>
      <c r="M18" s="15" t="s">
        <v>1</v>
      </c>
      <c r="N18" s="15" t="s">
        <v>20</v>
      </c>
    </row>
    <row r="19" spans="1:14">
      <c r="F19" s="8" t="s">
        <v>19</v>
      </c>
      <c r="G19" s="7">
        <f>SUM(G3:G17)</f>
        <v>82.79</v>
      </c>
      <c r="H19" s="7">
        <f t="shared" ref="H19:I19" si="6">SUM(H3:H17)</f>
        <v>87.539999999999992</v>
      </c>
      <c r="I19" s="7">
        <f t="shared" si="6"/>
        <v>102.99</v>
      </c>
      <c r="K19" s="14" t="s">
        <v>19</v>
      </c>
      <c r="L19" s="5">
        <f>SUM(L3:L17)</f>
        <v>327.92</v>
      </c>
      <c r="M19" s="5">
        <f t="shared" ref="M19" si="7">SUM(M3:M17)</f>
        <v>353.11999999999995</v>
      </c>
      <c r="N19" s="5">
        <f t="shared" ref="N19" si="8">SUM(N3:N17)</f>
        <v>420.57</v>
      </c>
    </row>
  </sheetData>
  <pageMargins left="0.7" right="0.7" top="0.75" bottom="0.75" header="0.3" footer="0.3"/>
  <pageSetup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4817-7CD7-4D9C-8D00-E4A306D1D394}">
  <sheetPr>
    <pageSetUpPr fitToPage="1"/>
  </sheetPr>
  <dimension ref="A2:C18"/>
  <sheetViews>
    <sheetView topLeftCell="A5" workbookViewId="0">
      <selection activeCell="C19" sqref="C19"/>
    </sheetView>
  </sheetViews>
  <sheetFormatPr defaultRowHeight="18.75"/>
  <cols>
    <col min="1" max="1" width="14.42578125" style="16" bestFit="1" customWidth="1"/>
    <col min="2" max="2" width="16.85546875" style="16" bestFit="1" customWidth="1"/>
    <col min="3" max="3" width="16.28515625" style="16" bestFit="1" customWidth="1"/>
    <col min="4" max="6" width="9.140625" style="16"/>
    <col min="7" max="7" width="11.5703125" style="16" bestFit="1" customWidth="1"/>
    <col min="8" max="16384" width="9.140625" style="16"/>
  </cols>
  <sheetData>
    <row r="2" spans="1:3" ht="33.75">
      <c r="B2" s="27" t="s">
        <v>24</v>
      </c>
      <c r="C2" s="27" t="s">
        <v>23</v>
      </c>
    </row>
    <row r="3" spans="1:3">
      <c r="A3" s="26" t="s">
        <v>37</v>
      </c>
      <c r="B3" s="25"/>
      <c r="C3" s="25"/>
    </row>
    <row r="4" spans="1:3">
      <c r="A4" s="24" t="s">
        <v>36</v>
      </c>
      <c r="B4" s="23">
        <v>50</v>
      </c>
      <c r="C4" s="23">
        <v>90</v>
      </c>
    </row>
    <row r="5" spans="1:3">
      <c r="A5" s="24" t="s">
        <v>35</v>
      </c>
      <c r="B5" s="23">
        <v>2.5</v>
      </c>
      <c r="C5" s="23">
        <v>2</v>
      </c>
    </row>
    <row r="6" spans="1:3">
      <c r="A6" s="24" t="s">
        <v>34</v>
      </c>
      <c r="B6" s="23">
        <v>5</v>
      </c>
      <c r="C6" s="23">
        <v>4.5</v>
      </c>
    </row>
    <row r="7" spans="1:3">
      <c r="A7" s="24" t="s">
        <v>33</v>
      </c>
      <c r="B7" s="23">
        <v>7</v>
      </c>
      <c r="C7" s="23">
        <v>7</v>
      </c>
    </row>
    <row r="8" spans="1:3">
      <c r="A8" s="24" t="s">
        <v>32</v>
      </c>
      <c r="B8" s="23">
        <v>3</v>
      </c>
      <c r="C8" s="23">
        <v>0</v>
      </c>
    </row>
    <row r="9" spans="1:3">
      <c r="A9" s="24" t="s">
        <v>31</v>
      </c>
      <c r="B9" s="23">
        <f>SUM(B4:B8)</f>
        <v>67.5</v>
      </c>
      <c r="C9" s="23">
        <f>SUM(C4:C8)</f>
        <v>103.5</v>
      </c>
    </row>
    <row r="11" spans="1:3">
      <c r="A11" s="22" t="s">
        <v>30</v>
      </c>
      <c r="B11" s="21"/>
      <c r="C11" s="21"/>
    </row>
    <row r="12" spans="1:3">
      <c r="A12" s="20" t="s">
        <v>29</v>
      </c>
      <c r="B12" s="19">
        <v>42</v>
      </c>
      <c r="C12" s="19">
        <v>22</v>
      </c>
    </row>
    <row r="13" spans="1:3">
      <c r="A13" s="20" t="s">
        <v>28</v>
      </c>
      <c r="B13" s="19"/>
      <c r="C13" s="19">
        <v>16</v>
      </c>
    </row>
    <row r="14" spans="1:3">
      <c r="A14" s="20" t="s">
        <v>27</v>
      </c>
      <c r="B14" s="19">
        <v>6</v>
      </c>
      <c r="C14" s="19"/>
    </row>
    <row r="15" spans="1:3">
      <c r="A15" s="20" t="s">
        <v>26</v>
      </c>
      <c r="B15" s="19">
        <f>SUM(B12:B14)</f>
        <v>48</v>
      </c>
      <c r="C15" s="19">
        <f>SUM(C12:C14)</f>
        <v>38</v>
      </c>
    </row>
    <row r="16" spans="1:3">
      <c r="A16" s="20" t="s">
        <v>25</v>
      </c>
      <c r="B16" s="19">
        <f>B15</f>
        <v>48</v>
      </c>
      <c r="C16" s="19">
        <f>C15</f>
        <v>38</v>
      </c>
    </row>
    <row r="17" spans="1:3">
      <c r="B17" s="16" t="s">
        <v>24</v>
      </c>
      <c r="C17" s="16" t="s">
        <v>23</v>
      </c>
    </row>
    <row r="18" spans="1:3">
      <c r="A18" s="18" t="s">
        <v>22</v>
      </c>
      <c r="B18" s="17">
        <f>B9+(B16*12)</f>
        <v>643.5</v>
      </c>
      <c r="C18" s="17">
        <f>C9+(C16*12)</f>
        <v>559.5</v>
      </c>
    </row>
  </sheetData>
  <pageMargins left="0.7" right="0.7" top="0.75" bottom="0.75" header="0.3" footer="0.3"/>
  <pageSetup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94A1-9583-4FF1-BF6B-06D3B2556C58}">
  <dimension ref="A1:J27"/>
  <sheetViews>
    <sheetView topLeftCell="B17" workbookViewId="0">
      <selection activeCell="F35" sqref="F35"/>
    </sheetView>
  </sheetViews>
  <sheetFormatPr defaultRowHeight="15"/>
  <cols>
    <col min="1" max="1" width="29.28515625" bestFit="1" customWidth="1"/>
    <col min="2" max="2" width="16.140625" bestFit="1" customWidth="1"/>
    <col min="3" max="3" width="19.28515625" bestFit="1" customWidth="1"/>
    <col min="4" max="4" width="12.5703125" bestFit="1" customWidth="1"/>
    <col min="7" max="7" width="29.28515625" bestFit="1" customWidth="1"/>
    <col min="8" max="8" width="16.140625" bestFit="1" customWidth="1"/>
    <col min="9" max="9" width="19.28515625" bestFit="1" customWidth="1"/>
    <col min="10" max="10" width="12.5703125" bestFit="1" customWidth="1"/>
  </cols>
  <sheetData>
    <row r="1" spans="1:10">
      <c r="A1" t="s">
        <v>3</v>
      </c>
      <c r="B1" t="s">
        <v>38</v>
      </c>
      <c r="C1" t="s">
        <v>39</v>
      </c>
      <c r="D1" t="s">
        <v>40</v>
      </c>
      <c r="G1" t="s">
        <v>21</v>
      </c>
      <c r="H1" t="s">
        <v>38</v>
      </c>
      <c r="I1" t="s">
        <v>39</v>
      </c>
      <c r="J1" t="s">
        <v>40</v>
      </c>
    </row>
    <row r="5" spans="1:10" ht="15.75">
      <c r="A5" s="28" t="s">
        <v>41</v>
      </c>
      <c r="B5" s="33"/>
      <c r="C5" s="33"/>
      <c r="D5" s="33"/>
      <c r="G5" s="28" t="s">
        <v>41</v>
      </c>
      <c r="H5" s="33"/>
      <c r="I5" s="33"/>
      <c r="J5" s="33"/>
    </row>
    <row r="6" spans="1:10">
      <c r="A6" s="29" t="s">
        <v>42</v>
      </c>
      <c r="B6" s="34">
        <v>280</v>
      </c>
      <c r="C6" s="34">
        <v>100</v>
      </c>
      <c r="D6" s="34">
        <v>350</v>
      </c>
      <c r="G6" s="29" t="s">
        <v>42</v>
      </c>
      <c r="H6" s="34">
        <v>280</v>
      </c>
      <c r="I6" s="34">
        <v>100</v>
      </c>
      <c r="J6" s="34">
        <v>350</v>
      </c>
    </row>
    <row r="7" spans="1:10">
      <c r="A7" s="29" t="s">
        <v>43</v>
      </c>
      <c r="B7" s="34">
        <v>18</v>
      </c>
      <c r="C7" s="34">
        <v>0</v>
      </c>
      <c r="D7" s="34">
        <v>0</v>
      </c>
      <c r="G7" s="29" t="s">
        <v>43</v>
      </c>
      <c r="H7" s="34">
        <v>18</v>
      </c>
      <c r="I7" s="34">
        <v>0</v>
      </c>
      <c r="J7" s="34">
        <v>0</v>
      </c>
    </row>
    <row r="8" spans="1:10">
      <c r="A8" s="29" t="s">
        <v>44</v>
      </c>
      <c r="B8" s="34">
        <v>25</v>
      </c>
      <c r="C8" s="34">
        <v>0</v>
      </c>
      <c r="D8" s="34">
        <v>0</v>
      </c>
      <c r="G8" s="29" t="s">
        <v>44</v>
      </c>
      <c r="H8" s="34">
        <v>25</v>
      </c>
      <c r="I8" s="34">
        <v>0</v>
      </c>
      <c r="J8" s="34">
        <v>0</v>
      </c>
    </row>
    <row r="9" spans="1:10">
      <c r="A9" s="29" t="s">
        <v>45</v>
      </c>
      <c r="B9" s="34">
        <v>15</v>
      </c>
      <c r="C9" s="34">
        <v>0</v>
      </c>
      <c r="D9" s="34">
        <v>0</v>
      </c>
      <c r="G9" s="29" t="s">
        <v>45</v>
      </c>
      <c r="H9" s="34">
        <v>15</v>
      </c>
      <c r="I9" s="34">
        <v>0</v>
      </c>
      <c r="J9" s="34">
        <v>0</v>
      </c>
    </row>
    <row r="10" spans="1:10">
      <c r="A10" s="29" t="s">
        <v>46</v>
      </c>
      <c r="B10" s="34">
        <v>9</v>
      </c>
      <c r="C10" s="34">
        <v>0</v>
      </c>
      <c r="D10" s="34">
        <v>0</v>
      </c>
      <c r="G10" s="29" t="s">
        <v>46</v>
      </c>
      <c r="H10" s="34">
        <v>9</v>
      </c>
      <c r="I10" s="34">
        <v>0</v>
      </c>
      <c r="J10" s="34">
        <v>0</v>
      </c>
    </row>
    <row r="11" spans="1:10">
      <c r="A11" s="29" t="s">
        <v>47</v>
      </c>
      <c r="B11" s="34">
        <v>0</v>
      </c>
      <c r="C11" s="34">
        <v>99</v>
      </c>
      <c r="D11" s="34">
        <v>0</v>
      </c>
      <c r="G11" s="29" t="s">
        <v>47</v>
      </c>
      <c r="H11" s="34">
        <v>0</v>
      </c>
      <c r="I11" s="34">
        <v>99</v>
      </c>
      <c r="J11" s="34">
        <v>0</v>
      </c>
    </row>
    <row r="12" spans="1:10">
      <c r="A12" s="29" t="s">
        <v>48</v>
      </c>
      <c r="B12" s="34">
        <v>0</v>
      </c>
      <c r="C12" s="34">
        <v>95</v>
      </c>
      <c r="D12" s="34">
        <v>0</v>
      </c>
      <c r="G12" s="29" t="s">
        <v>48</v>
      </c>
      <c r="H12" s="34">
        <v>0</v>
      </c>
      <c r="I12" s="34">
        <v>95</v>
      </c>
      <c r="J12" s="34">
        <v>0</v>
      </c>
    </row>
    <row r="13" spans="1:10">
      <c r="A13" s="29" t="s">
        <v>49</v>
      </c>
      <c r="B13" s="34">
        <v>0</v>
      </c>
      <c r="C13" s="34">
        <v>85</v>
      </c>
      <c r="D13" s="34">
        <v>0</v>
      </c>
      <c r="G13" s="29" t="s">
        <v>49</v>
      </c>
      <c r="H13" s="34">
        <v>0</v>
      </c>
      <c r="I13" s="34">
        <v>85</v>
      </c>
      <c r="J13" s="34">
        <v>0</v>
      </c>
    </row>
    <row r="14" spans="1:10">
      <c r="A14" s="29" t="s">
        <v>50</v>
      </c>
      <c r="B14" s="34">
        <v>0</v>
      </c>
      <c r="C14" s="34">
        <v>85</v>
      </c>
      <c r="D14" s="34">
        <v>0</v>
      </c>
      <c r="G14" s="29" t="s">
        <v>50</v>
      </c>
      <c r="H14" s="34">
        <v>0</v>
      </c>
      <c r="I14" s="34">
        <v>85</v>
      </c>
      <c r="J14" s="34">
        <v>0</v>
      </c>
    </row>
    <row r="15" spans="1:10">
      <c r="A15" s="29" t="s">
        <v>51</v>
      </c>
      <c r="B15" s="34">
        <v>0</v>
      </c>
      <c r="C15" s="34">
        <v>0</v>
      </c>
      <c r="D15" s="34">
        <v>555</v>
      </c>
      <c r="G15" s="29" t="s">
        <v>51</v>
      </c>
      <c r="H15" s="34">
        <v>0</v>
      </c>
      <c r="I15" s="34">
        <v>0</v>
      </c>
      <c r="J15" s="34">
        <v>555</v>
      </c>
    </row>
    <row r="16" spans="1:10">
      <c r="B16" s="30"/>
      <c r="C16" s="30"/>
      <c r="D16" s="30"/>
      <c r="H16" s="30"/>
      <c r="I16" s="30"/>
      <c r="J16" s="30"/>
    </row>
    <row r="17" spans="1:10">
      <c r="A17" s="29" t="s">
        <v>52</v>
      </c>
      <c r="B17" s="34">
        <f>SUM(B6:B15)</f>
        <v>347</v>
      </c>
      <c r="C17" s="34">
        <f>SUM(C6:C15)</f>
        <v>464</v>
      </c>
      <c r="D17" s="34">
        <f>SUM(D6:D15)</f>
        <v>905</v>
      </c>
      <c r="G17" s="29" t="s">
        <v>52</v>
      </c>
      <c r="H17" s="34">
        <f>SUM(H6:H15)</f>
        <v>347</v>
      </c>
      <c r="I17" s="34">
        <f>SUM(I6:I15)</f>
        <v>464</v>
      </c>
      <c r="J17" s="34">
        <f>SUM(J6:J15)</f>
        <v>905</v>
      </c>
    </row>
    <row r="18" spans="1:10">
      <c r="A18" s="29" t="s">
        <v>53</v>
      </c>
      <c r="B18" s="34">
        <v>3</v>
      </c>
      <c r="C18" s="34">
        <v>4</v>
      </c>
      <c r="D18" s="34">
        <v>5</v>
      </c>
      <c r="G18" s="29" t="s">
        <v>53</v>
      </c>
      <c r="H18" s="34">
        <v>3</v>
      </c>
      <c r="I18" s="34">
        <v>4</v>
      </c>
      <c r="J18" s="34">
        <v>5</v>
      </c>
    </row>
    <row r="19" spans="1:10">
      <c r="A19" s="29" t="s">
        <v>54</v>
      </c>
      <c r="B19" s="34">
        <f>B17*B18</f>
        <v>1041</v>
      </c>
      <c r="C19" s="34">
        <f>C17*C18</f>
        <v>1856</v>
      </c>
      <c r="D19" s="34">
        <f>D17*D18</f>
        <v>4525</v>
      </c>
      <c r="G19" s="29" t="s">
        <v>54</v>
      </c>
      <c r="H19" s="34">
        <f>H17*H18</f>
        <v>1041</v>
      </c>
      <c r="I19" s="34">
        <f>I17*I18</f>
        <v>1856</v>
      </c>
      <c r="J19" s="34">
        <f>J17*J18</f>
        <v>4525</v>
      </c>
    </row>
    <row r="20" spans="1:10">
      <c r="B20" s="30"/>
      <c r="C20" s="30"/>
      <c r="D20" s="30"/>
      <c r="H20" s="30"/>
      <c r="I20" s="30"/>
      <c r="J20" s="30"/>
    </row>
    <row r="21" spans="1:10" ht="15.75">
      <c r="A21" s="31" t="s">
        <v>55</v>
      </c>
      <c r="B21" s="32"/>
      <c r="C21" s="32"/>
      <c r="D21" s="32"/>
      <c r="G21" s="31" t="s">
        <v>55</v>
      </c>
      <c r="H21" s="32"/>
      <c r="I21" s="32"/>
      <c r="J21" s="32"/>
    </row>
    <row r="22" spans="1:10">
      <c r="A22" s="6" t="s">
        <v>56</v>
      </c>
      <c r="B22" s="35">
        <v>120</v>
      </c>
      <c r="C22" s="35">
        <v>150</v>
      </c>
      <c r="D22" s="35">
        <v>0</v>
      </c>
      <c r="G22" s="6" t="s">
        <v>56</v>
      </c>
      <c r="H22" s="35">
        <v>360</v>
      </c>
      <c r="I22" s="35">
        <v>450</v>
      </c>
      <c r="J22" s="35">
        <v>0</v>
      </c>
    </row>
    <row r="23" spans="1:10" s="36" customFormat="1">
      <c r="A23" s="6" t="s">
        <v>59</v>
      </c>
      <c r="B23" s="35">
        <v>40</v>
      </c>
      <c r="C23" s="35">
        <v>0</v>
      </c>
      <c r="D23" s="35">
        <v>0</v>
      </c>
      <c r="G23" s="6" t="s">
        <v>59</v>
      </c>
      <c r="H23" s="35">
        <v>40</v>
      </c>
      <c r="I23" s="35">
        <v>0</v>
      </c>
      <c r="J23" s="35">
        <v>0</v>
      </c>
    </row>
    <row r="24" spans="1:10">
      <c r="A24" s="6" t="s">
        <v>57</v>
      </c>
      <c r="B24" s="32">
        <v>5</v>
      </c>
      <c r="C24" s="32">
        <v>4</v>
      </c>
      <c r="D24" s="32">
        <v>5</v>
      </c>
      <c r="G24" s="6" t="s">
        <v>57</v>
      </c>
      <c r="H24" s="32">
        <v>5</v>
      </c>
      <c r="I24" s="32">
        <v>4</v>
      </c>
      <c r="J24" s="32">
        <v>5</v>
      </c>
    </row>
    <row r="25" spans="1:10">
      <c r="A25" s="6" t="s">
        <v>58</v>
      </c>
      <c r="B25" s="35">
        <f>B22*B24</f>
        <v>600</v>
      </c>
      <c r="C25" s="35">
        <f>C22*C24</f>
        <v>600</v>
      </c>
      <c r="D25" s="35">
        <v>0</v>
      </c>
      <c r="G25" s="6" t="s">
        <v>58</v>
      </c>
      <c r="H25" s="35">
        <f>H22*H24</f>
        <v>1800</v>
      </c>
      <c r="I25" s="35">
        <f>I22*I24</f>
        <v>1800</v>
      </c>
      <c r="J25" s="35">
        <v>0</v>
      </c>
    </row>
    <row r="26" spans="1:10">
      <c r="B26" s="30"/>
      <c r="C26" s="30"/>
      <c r="D26" s="30"/>
      <c r="H26" s="2"/>
      <c r="I26" s="30"/>
      <c r="J26" s="30"/>
    </row>
    <row r="27" spans="1:10">
      <c r="A27" t="s">
        <v>19</v>
      </c>
      <c r="B27" s="2">
        <f>B19+B23+B25</f>
        <v>1681</v>
      </c>
      <c r="C27" s="2">
        <f>C19+C25</f>
        <v>2456</v>
      </c>
      <c r="D27" s="2">
        <f>D19</f>
        <v>4525</v>
      </c>
      <c r="G27" t="s">
        <v>19</v>
      </c>
      <c r="H27" s="2">
        <f>H19+H23+H25</f>
        <v>2881</v>
      </c>
      <c r="I27" s="2">
        <f>I19+I25</f>
        <v>3656</v>
      </c>
      <c r="J27" s="2">
        <f>J19</f>
        <v>4525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CCDC-94F4-4C80-805D-3566373AC31C}">
  <dimension ref="A1:I19"/>
  <sheetViews>
    <sheetView workbookViewId="0">
      <selection activeCell="E13" sqref="E13"/>
    </sheetView>
  </sheetViews>
  <sheetFormatPr defaultRowHeight="15"/>
  <cols>
    <col min="1" max="1" width="24.5703125" bestFit="1" customWidth="1"/>
    <col min="2" max="2" width="11.28515625" bestFit="1" customWidth="1"/>
    <col min="3" max="3" width="10.28515625" bestFit="1" customWidth="1"/>
    <col min="4" max="4" width="12.28515625" bestFit="1" customWidth="1"/>
    <col min="6" max="6" width="23.42578125" bestFit="1" customWidth="1"/>
    <col min="7" max="7" width="12.85546875" bestFit="1" customWidth="1"/>
    <col min="8" max="8" width="11.42578125" bestFit="1" customWidth="1"/>
    <col min="9" max="9" width="10.5703125" bestFit="1" customWidth="1"/>
  </cols>
  <sheetData>
    <row r="1" spans="1:9" ht="15.75">
      <c r="A1" s="37" t="s">
        <v>3</v>
      </c>
      <c r="B1" s="37" t="s">
        <v>74</v>
      </c>
      <c r="C1" s="37" t="s">
        <v>75</v>
      </c>
      <c r="D1" s="37" t="s">
        <v>76</v>
      </c>
      <c r="E1" s="37"/>
      <c r="F1" s="37" t="s">
        <v>21</v>
      </c>
      <c r="G1" s="37" t="s">
        <v>74</v>
      </c>
      <c r="H1" s="37" t="s">
        <v>75</v>
      </c>
      <c r="I1" s="37" t="s">
        <v>76</v>
      </c>
    </row>
    <row r="2" spans="1:9" ht="15.75">
      <c r="A2" s="37" t="s">
        <v>61</v>
      </c>
      <c r="B2" s="1">
        <v>29</v>
      </c>
      <c r="C2" s="1">
        <v>149</v>
      </c>
      <c r="D2" s="1">
        <v>549</v>
      </c>
      <c r="F2" s="37" t="s">
        <v>61</v>
      </c>
      <c r="G2" s="1">
        <v>29</v>
      </c>
      <c r="H2" s="1">
        <v>149</v>
      </c>
      <c r="I2" s="1">
        <v>549</v>
      </c>
    </row>
    <row r="3" spans="1:9" ht="15.75">
      <c r="A3" s="37"/>
      <c r="F3" s="37"/>
    </row>
    <row r="4" spans="1:9" ht="15.75">
      <c r="A4" s="39" t="s">
        <v>62</v>
      </c>
      <c r="B4" s="40">
        <v>40</v>
      </c>
      <c r="C4" s="40">
        <v>90</v>
      </c>
      <c r="D4" s="40">
        <v>370</v>
      </c>
      <c r="F4" s="44" t="s">
        <v>62</v>
      </c>
      <c r="G4" s="45">
        <v>40</v>
      </c>
      <c r="H4" s="45">
        <v>90</v>
      </c>
      <c r="I4" s="45">
        <v>370</v>
      </c>
    </row>
    <row r="5" spans="1:9" ht="15.75">
      <c r="A5" s="39" t="s">
        <v>63</v>
      </c>
      <c r="B5" s="41">
        <v>200</v>
      </c>
      <c r="C5" s="41">
        <v>1000</v>
      </c>
      <c r="D5" s="41">
        <v>11000</v>
      </c>
      <c r="F5" s="44" t="s">
        <v>63</v>
      </c>
      <c r="G5" s="46">
        <v>200</v>
      </c>
      <c r="H5" s="46">
        <v>1000</v>
      </c>
      <c r="I5" s="46">
        <v>11000</v>
      </c>
    </row>
    <row r="6" spans="1:9" ht="15.75">
      <c r="A6" s="39" t="s">
        <v>64</v>
      </c>
      <c r="B6" s="40">
        <f>B4/B5</f>
        <v>0.2</v>
      </c>
      <c r="C6" s="40">
        <f>C4/C5</f>
        <v>0.09</v>
      </c>
      <c r="D6" s="40">
        <f>D4/D5</f>
        <v>3.3636363636363638E-2</v>
      </c>
      <c r="F6" s="44" t="s">
        <v>64</v>
      </c>
      <c r="G6" s="45">
        <f>G4/G5</f>
        <v>0.2</v>
      </c>
      <c r="H6" s="45">
        <f>H4/H5</f>
        <v>0.09</v>
      </c>
      <c r="I6" s="45">
        <f>I4/I5</f>
        <v>3.3636363636363638E-2</v>
      </c>
    </row>
    <row r="7" spans="1:9" ht="15.75">
      <c r="A7" s="37"/>
      <c r="F7" s="37"/>
    </row>
    <row r="8" spans="1:9" ht="15.75">
      <c r="A8" s="37" t="s">
        <v>65</v>
      </c>
      <c r="B8" s="42">
        <f>B19</f>
        <v>3750</v>
      </c>
      <c r="C8" s="42">
        <f t="shared" ref="C8:D8" si="0">C19</f>
        <v>3750</v>
      </c>
      <c r="D8" s="42">
        <f t="shared" si="0"/>
        <v>3750</v>
      </c>
      <c r="F8" s="37" t="s">
        <v>65</v>
      </c>
      <c r="G8" s="43">
        <f>G19</f>
        <v>125000</v>
      </c>
      <c r="H8" s="43">
        <f t="shared" ref="H8:I8" si="1">H19</f>
        <v>125000</v>
      </c>
      <c r="I8" s="43">
        <f t="shared" si="1"/>
        <v>125000</v>
      </c>
    </row>
    <row r="9" spans="1:9" ht="15.75">
      <c r="A9" s="37" t="s">
        <v>66</v>
      </c>
      <c r="B9" s="1">
        <f>B6*B8</f>
        <v>750</v>
      </c>
      <c r="C9" s="1">
        <f>C6*C8</f>
        <v>337.5</v>
      </c>
      <c r="D9" s="1">
        <f>D6*D8</f>
        <v>126.13636363636364</v>
      </c>
      <c r="F9" s="37" t="s">
        <v>66</v>
      </c>
      <c r="G9" s="1">
        <f>G6*G8</f>
        <v>25000</v>
      </c>
      <c r="H9" s="1">
        <f>H6*H8</f>
        <v>11250</v>
      </c>
      <c r="I9" s="1">
        <f>I6*I8</f>
        <v>4204.545454545455</v>
      </c>
    </row>
    <row r="10" spans="1:9" ht="15.75">
      <c r="A10" s="37" t="s">
        <v>67</v>
      </c>
      <c r="B10">
        <v>2</v>
      </c>
      <c r="C10">
        <v>2</v>
      </c>
      <c r="D10">
        <v>2</v>
      </c>
      <c r="F10" s="37" t="s">
        <v>67</v>
      </c>
      <c r="G10">
        <v>2</v>
      </c>
      <c r="H10">
        <v>2</v>
      </c>
      <c r="I10">
        <v>2</v>
      </c>
    </row>
    <row r="11" spans="1:9" ht="15.75">
      <c r="A11" s="37"/>
      <c r="F11" s="37"/>
    </row>
    <row r="12" spans="1:9" ht="15.75">
      <c r="A12" s="37" t="s">
        <v>68</v>
      </c>
      <c r="B12" s="1">
        <f>B9*B10</f>
        <v>1500</v>
      </c>
      <c r="C12" s="1">
        <f>C9*C10</f>
        <v>675</v>
      </c>
      <c r="D12" s="1">
        <f>D8*D10</f>
        <v>7500</v>
      </c>
      <c r="F12" s="37" t="s">
        <v>68</v>
      </c>
      <c r="G12" s="1">
        <f>G9*G10</f>
        <v>50000</v>
      </c>
      <c r="H12" s="1">
        <f>H9*H10</f>
        <v>22500</v>
      </c>
      <c r="I12" s="1">
        <f>I10*I9</f>
        <v>8409.0909090909099</v>
      </c>
    </row>
    <row r="13" spans="1:9" s="37" customFormat="1" ht="15.75">
      <c r="B13" s="38" t="s">
        <v>74</v>
      </c>
      <c r="C13" s="38" t="s">
        <v>75</v>
      </c>
      <c r="D13" s="38" t="s">
        <v>76</v>
      </c>
      <c r="G13" s="38" t="s">
        <v>74</v>
      </c>
      <c r="H13" s="38" t="s">
        <v>75</v>
      </c>
      <c r="I13" s="38" t="s">
        <v>76</v>
      </c>
    </row>
    <row r="14" spans="1:9" ht="15.75">
      <c r="A14" s="38" t="s">
        <v>69</v>
      </c>
      <c r="B14" s="1">
        <f>B2+B12</f>
        <v>1529</v>
      </c>
      <c r="C14" s="1">
        <f t="shared" ref="C14:D14" si="2">C2+C12</f>
        <v>824</v>
      </c>
      <c r="D14" s="1">
        <f t="shared" si="2"/>
        <v>8049</v>
      </c>
      <c r="F14" s="38" t="s">
        <v>69</v>
      </c>
      <c r="G14" s="1">
        <f>G12+G2</f>
        <v>50029</v>
      </c>
      <c r="H14" s="1">
        <f t="shared" ref="H14:I14" si="3">H12+H2</f>
        <v>22649</v>
      </c>
      <c r="I14" s="1">
        <f t="shared" si="3"/>
        <v>8958.0909090909099</v>
      </c>
    </row>
    <row r="15" spans="1:9" ht="15.75">
      <c r="A15" s="37"/>
    </row>
    <row r="16" spans="1:9" ht="15.75">
      <c r="A16" s="49" t="s">
        <v>70</v>
      </c>
      <c r="B16" s="50">
        <v>15</v>
      </c>
      <c r="C16" s="50">
        <v>15</v>
      </c>
      <c r="D16" s="50">
        <v>15</v>
      </c>
      <c r="F16" s="47" t="s">
        <v>70</v>
      </c>
      <c r="G16" s="48">
        <v>500</v>
      </c>
      <c r="H16" s="48">
        <v>500</v>
      </c>
      <c r="I16" s="48">
        <v>500</v>
      </c>
    </row>
    <row r="17" spans="1:9" ht="15.75">
      <c r="A17" s="49" t="s">
        <v>71</v>
      </c>
      <c r="B17" s="50">
        <v>5</v>
      </c>
      <c r="C17" s="50">
        <v>5</v>
      </c>
      <c r="D17" s="50">
        <v>5</v>
      </c>
      <c r="F17" s="47" t="s">
        <v>71</v>
      </c>
      <c r="G17" s="48">
        <v>5</v>
      </c>
      <c r="H17" s="11">
        <v>5</v>
      </c>
      <c r="I17" s="11">
        <v>5</v>
      </c>
    </row>
    <row r="18" spans="1:9" ht="15.75">
      <c r="A18" s="49" t="s">
        <v>72</v>
      </c>
      <c r="B18" s="50">
        <f>50</f>
        <v>50</v>
      </c>
      <c r="C18" s="50">
        <v>50</v>
      </c>
      <c r="D18" s="50">
        <v>50</v>
      </c>
      <c r="F18" s="47" t="s">
        <v>72</v>
      </c>
      <c r="G18" s="48">
        <f>50</f>
        <v>50</v>
      </c>
      <c r="H18" s="11">
        <v>50</v>
      </c>
      <c r="I18" s="11">
        <v>50</v>
      </c>
    </row>
    <row r="19" spans="1:9" ht="15.75">
      <c r="A19" s="49" t="s">
        <v>73</v>
      </c>
      <c r="B19" s="50">
        <f>B16*B17*B18</f>
        <v>3750</v>
      </c>
      <c r="C19" s="50">
        <f t="shared" ref="C19:D19" si="4">C16*C17*C18</f>
        <v>3750</v>
      </c>
      <c r="D19" s="50">
        <f t="shared" si="4"/>
        <v>3750</v>
      </c>
      <c r="F19" s="47" t="s">
        <v>73</v>
      </c>
      <c r="G19" s="48">
        <f>G16*G17*G18</f>
        <v>125000</v>
      </c>
      <c r="H19" s="48">
        <f t="shared" ref="H19:I19" si="5">H16*H17*H18</f>
        <v>125000</v>
      </c>
      <c r="I19" s="48">
        <f t="shared" si="5"/>
        <v>125000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893C-304A-4727-BA10-7F3791F0C3A3}">
  <dimension ref="A1:J29"/>
  <sheetViews>
    <sheetView tabSelected="1" topLeftCell="A22" workbookViewId="0">
      <selection activeCell="F26" sqref="F26"/>
    </sheetView>
  </sheetViews>
  <sheetFormatPr defaultRowHeight="15.75"/>
  <cols>
    <col min="1" max="1" width="34.7109375" style="66" bestFit="1" customWidth="1"/>
    <col min="2" max="2" width="16" style="66" bestFit="1" customWidth="1"/>
    <col min="3" max="4" width="17.5703125" style="66" bestFit="1" customWidth="1"/>
    <col min="5" max="6" width="9.140625" style="66"/>
    <col min="7" max="7" width="31.5703125" style="66" bestFit="1" customWidth="1"/>
    <col min="8" max="8" width="16" style="66" bestFit="1" customWidth="1"/>
    <col min="9" max="10" width="17.5703125" style="66" bestFit="1" customWidth="1"/>
    <col min="11" max="16384" width="9.140625" style="66"/>
  </cols>
  <sheetData>
    <row r="1" spans="1:10">
      <c r="A1" s="51" t="s">
        <v>3</v>
      </c>
      <c r="B1" s="51" t="s">
        <v>77</v>
      </c>
      <c r="C1" s="51" t="s">
        <v>78</v>
      </c>
      <c r="D1" s="51" t="s">
        <v>79</v>
      </c>
      <c r="G1" s="61" t="s">
        <v>21</v>
      </c>
      <c r="H1" s="61" t="s">
        <v>77</v>
      </c>
      <c r="I1" s="61" t="s">
        <v>78</v>
      </c>
      <c r="J1" s="61" t="s">
        <v>79</v>
      </c>
    </row>
    <row r="2" spans="1:10">
      <c r="A2" s="67" t="s">
        <v>80</v>
      </c>
      <c r="B2" s="68">
        <f>SUM(B3:B4)</f>
        <v>15950</v>
      </c>
      <c r="C2" s="68">
        <f t="shared" ref="C2:D2" si="0">SUM(C3:C4)</f>
        <v>34100</v>
      </c>
      <c r="D2" s="68">
        <f t="shared" si="0"/>
        <v>79200</v>
      </c>
      <c r="G2" s="69" t="s">
        <v>80</v>
      </c>
      <c r="H2" s="70">
        <f>SUM(H3:H4)</f>
        <v>21750</v>
      </c>
      <c r="I2" s="70">
        <f t="shared" ref="I2" si="1">SUM(I3:I4)</f>
        <v>46500</v>
      </c>
      <c r="J2" s="70">
        <f t="shared" ref="J2" si="2">SUM(J3:J4)</f>
        <v>108000</v>
      </c>
    </row>
    <row r="3" spans="1:10">
      <c r="A3" s="67" t="s">
        <v>61</v>
      </c>
      <c r="B3" s="53">
        <v>14500</v>
      </c>
      <c r="C3" s="53">
        <v>31000</v>
      </c>
      <c r="D3" s="53">
        <v>72000</v>
      </c>
      <c r="G3" s="69" t="s">
        <v>61</v>
      </c>
      <c r="H3" s="71">
        <f>14500+5800</f>
        <v>20300</v>
      </c>
      <c r="I3" s="71">
        <f>31000+12400</f>
        <v>43400</v>
      </c>
      <c r="J3" s="71">
        <f>72000+28800</f>
        <v>100800</v>
      </c>
    </row>
    <row r="4" spans="1:10">
      <c r="A4" s="67" t="s">
        <v>81</v>
      </c>
      <c r="B4" s="54">
        <v>1450</v>
      </c>
      <c r="C4" s="54">
        <v>3100</v>
      </c>
      <c r="D4" s="54">
        <v>7200</v>
      </c>
      <c r="G4" s="69" t="s">
        <v>81</v>
      </c>
      <c r="H4" s="72">
        <v>1450</v>
      </c>
      <c r="I4" s="72">
        <v>3100</v>
      </c>
      <c r="J4" s="72">
        <v>7200</v>
      </c>
    </row>
    <row r="5" spans="1:10">
      <c r="A5" s="61"/>
      <c r="B5" s="62"/>
      <c r="C5" s="62"/>
      <c r="D5" s="62"/>
      <c r="G5" s="62"/>
      <c r="H5" s="62"/>
      <c r="I5" s="62"/>
      <c r="J5" s="62"/>
    </row>
    <row r="6" spans="1:10">
      <c r="A6" s="73" t="s">
        <v>82</v>
      </c>
      <c r="B6" s="55"/>
      <c r="C6" s="55"/>
      <c r="D6" s="56"/>
      <c r="G6" s="74" t="s">
        <v>82</v>
      </c>
      <c r="H6" s="75"/>
      <c r="I6" s="75"/>
      <c r="J6" s="75"/>
    </row>
    <row r="7" spans="1:10">
      <c r="A7" s="76" t="s">
        <v>83</v>
      </c>
      <c r="B7" s="57">
        <v>1500</v>
      </c>
      <c r="C7" s="57">
        <v>2500</v>
      </c>
      <c r="D7" s="58">
        <v>3100</v>
      </c>
      <c r="G7" s="77" t="s">
        <v>83</v>
      </c>
      <c r="H7" s="78">
        <v>1500</v>
      </c>
      <c r="I7" s="79">
        <v>2500</v>
      </c>
      <c r="J7" s="78">
        <v>3100</v>
      </c>
    </row>
    <row r="8" spans="1:10">
      <c r="A8" s="76" t="s">
        <v>84</v>
      </c>
      <c r="B8" s="59">
        <v>210</v>
      </c>
      <c r="C8" s="59">
        <v>300</v>
      </c>
      <c r="D8" s="60">
        <v>450</v>
      </c>
      <c r="G8" s="77" t="s">
        <v>84</v>
      </c>
      <c r="H8" s="79">
        <v>210</v>
      </c>
      <c r="I8" s="79">
        <v>300</v>
      </c>
      <c r="J8" s="79">
        <v>450</v>
      </c>
    </row>
    <row r="9" spans="1:10">
      <c r="A9" s="76" t="s">
        <v>85</v>
      </c>
      <c r="B9" s="59">
        <f>B16</f>
        <v>3428.5714285714284</v>
      </c>
      <c r="C9" s="59">
        <f t="shared" ref="C9:D9" si="3">C16</f>
        <v>6315.7894736842109</v>
      </c>
      <c r="D9" s="59">
        <f t="shared" si="3"/>
        <v>7058.8235294117649</v>
      </c>
      <c r="G9" s="77" t="s">
        <v>85</v>
      </c>
      <c r="H9" s="79">
        <f>H13/H14*H15</f>
        <v>3428.5714285714284</v>
      </c>
      <c r="I9" s="79">
        <f t="shared" ref="I9:J9" si="4">I13/I14*I15</f>
        <v>6315.7894736842109</v>
      </c>
      <c r="J9" s="79">
        <f t="shared" si="4"/>
        <v>7058.8235294117649</v>
      </c>
    </row>
    <row r="10" spans="1:10">
      <c r="A10" s="80"/>
      <c r="B10" s="61"/>
      <c r="C10" s="61"/>
      <c r="D10" s="81"/>
      <c r="G10" s="61"/>
      <c r="H10" s="82"/>
      <c r="I10" s="61"/>
      <c r="J10" s="61"/>
    </row>
    <row r="11" spans="1:10">
      <c r="A11" s="80"/>
      <c r="B11" s="61"/>
      <c r="C11" s="61"/>
      <c r="D11" s="81"/>
      <c r="G11" s="61"/>
      <c r="H11" s="61"/>
      <c r="I11" s="61"/>
      <c r="J11" s="61"/>
    </row>
    <row r="12" spans="1:10">
      <c r="A12" s="83" t="s">
        <v>86</v>
      </c>
      <c r="B12" s="84"/>
      <c r="C12" s="84"/>
      <c r="D12" s="85"/>
      <c r="G12" s="63" t="s">
        <v>98</v>
      </c>
      <c r="H12" s="86"/>
      <c r="I12" s="86"/>
      <c r="J12" s="86"/>
    </row>
    <row r="13" spans="1:10">
      <c r="A13" s="83" t="s">
        <v>87</v>
      </c>
      <c r="B13" s="87">
        <v>30000</v>
      </c>
      <c r="C13" s="87">
        <v>30000</v>
      </c>
      <c r="D13" s="87">
        <v>30000</v>
      </c>
      <c r="G13" s="63" t="s">
        <v>99</v>
      </c>
      <c r="H13" s="88">
        <v>30000</v>
      </c>
      <c r="I13" s="88">
        <v>30000</v>
      </c>
      <c r="J13" s="88">
        <v>30000</v>
      </c>
    </row>
    <row r="14" spans="1:10">
      <c r="A14" s="83" t="s">
        <v>88</v>
      </c>
      <c r="B14" s="89">
        <v>35</v>
      </c>
      <c r="C14" s="89">
        <v>19</v>
      </c>
      <c r="D14" s="90">
        <v>17</v>
      </c>
      <c r="G14" s="63" t="s">
        <v>88</v>
      </c>
      <c r="H14" s="63">
        <v>35</v>
      </c>
      <c r="I14" s="63">
        <v>19</v>
      </c>
      <c r="J14" s="63">
        <v>17</v>
      </c>
    </row>
    <row r="15" spans="1:10">
      <c r="A15" s="83" t="s">
        <v>89</v>
      </c>
      <c r="B15" s="91">
        <v>4</v>
      </c>
      <c r="C15" s="91">
        <v>4</v>
      </c>
      <c r="D15" s="91">
        <v>4</v>
      </c>
      <c r="G15" s="63" t="s">
        <v>100</v>
      </c>
      <c r="H15" s="92">
        <v>4</v>
      </c>
      <c r="I15" s="92">
        <v>4</v>
      </c>
      <c r="J15" s="92">
        <v>4</v>
      </c>
    </row>
    <row r="16" spans="1:10">
      <c r="A16" s="83" t="s">
        <v>90</v>
      </c>
      <c r="B16" s="91">
        <f>(B13/B14)*B15</f>
        <v>3428.5714285714284</v>
      </c>
      <c r="C16" s="91">
        <f>(C13/C14)*C15</f>
        <v>6315.7894736842109</v>
      </c>
      <c r="D16" s="91">
        <f t="shared" ref="D16" si="5">(D13/D14)*D15</f>
        <v>7058.8235294117649</v>
      </c>
      <c r="G16" s="61" t="s">
        <v>102</v>
      </c>
      <c r="H16" s="93">
        <f>H13/H14*H15</f>
        <v>3428.5714285714284</v>
      </c>
      <c r="I16" s="93">
        <f t="shared" ref="I16:J16" si="6">I13/I14*I15</f>
        <v>6315.7894736842109</v>
      </c>
      <c r="J16" s="93">
        <f t="shared" si="6"/>
        <v>7058.8235294117649</v>
      </c>
    </row>
    <row r="17" spans="1:10">
      <c r="A17" s="80"/>
      <c r="B17" s="61"/>
      <c r="C17" s="61"/>
      <c r="D17" s="81"/>
      <c r="G17" s="61"/>
      <c r="H17" s="61"/>
      <c r="I17" s="61"/>
      <c r="J17" s="61"/>
    </row>
    <row r="18" spans="1:10">
      <c r="A18" s="94" t="s">
        <v>91</v>
      </c>
      <c r="B18" s="95">
        <f>B7+B8+B9</f>
        <v>5138.5714285714284</v>
      </c>
      <c r="C18" s="95">
        <f>C7+C8+C9</f>
        <v>9115.78947368421</v>
      </c>
      <c r="D18" s="95">
        <f>D7+D8+D9</f>
        <v>10608.823529411766</v>
      </c>
      <c r="G18" s="61" t="s">
        <v>101</v>
      </c>
      <c r="H18" s="62">
        <f>H7+H8+H9</f>
        <v>5138.5714285714284</v>
      </c>
      <c r="I18" s="62">
        <f t="shared" ref="I18:J18" si="7">I7+I8+I9</f>
        <v>9115.78947368421</v>
      </c>
      <c r="J18" s="62">
        <f>J7+J8+J9</f>
        <v>10608.823529411766</v>
      </c>
    </row>
    <row r="19" spans="1:10">
      <c r="A19" s="61"/>
      <c r="B19" s="61"/>
      <c r="C19" s="61"/>
      <c r="D19" s="61"/>
      <c r="G19" s="61"/>
      <c r="H19" s="61"/>
      <c r="I19" s="61"/>
      <c r="J19" s="61"/>
    </row>
    <row r="20" spans="1:10">
      <c r="A20" s="96" t="s">
        <v>92</v>
      </c>
      <c r="B20" s="97">
        <f>B13</f>
        <v>30000</v>
      </c>
      <c r="C20" s="97">
        <f t="shared" ref="C20:D20" si="8">C13</f>
        <v>30000</v>
      </c>
      <c r="D20" s="97">
        <f t="shared" si="8"/>
        <v>30000</v>
      </c>
      <c r="G20" s="64" t="s">
        <v>92</v>
      </c>
      <c r="H20" s="98">
        <v>30000</v>
      </c>
      <c r="I20" s="98">
        <v>30000</v>
      </c>
      <c r="J20" s="98">
        <v>30000</v>
      </c>
    </row>
    <row r="21" spans="1:10">
      <c r="A21" s="96" t="s">
        <v>93</v>
      </c>
      <c r="B21" s="97">
        <v>250000</v>
      </c>
      <c r="C21" s="97">
        <v>250000</v>
      </c>
      <c r="D21" s="97">
        <v>250000</v>
      </c>
      <c r="G21" s="99" t="s">
        <v>93</v>
      </c>
      <c r="H21" s="100">
        <v>250000</v>
      </c>
      <c r="I21" s="100">
        <v>250000</v>
      </c>
      <c r="J21" s="100">
        <v>250000</v>
      </c>
    </row>
    <row r="22" spans="1:10">
      <c r="A22" s="96" t="s">
        <v>94</v>
      </c>
      <c r="B22" s="101">
        <f>B21/B20</f>
        <v>8.3333333333333339</v>
      </c>
      <c r="C22" s="101">
        <f t="shared" ref="C22:D22" si="9">C21/C20</f>
        <v>8.3333333333333339</v>
      </c>
      <c r="D22" s="101">
        <f t="shared" si="9"/>
        <v>8.3333333333333339</v>
      </c>
      <c r="G22" s="102" t="s">
        <v>94</v>
      </c>
      <c r="H22" s="103">
        <f>H21/H20</f>
        <v>8.3333333333333339</v>
      </c>
      <c r="I22" s="103">
        <f t="shared" ref="I22:J22" si="10">I21/I20</f>
        <v>8.3333333333333339</v>
      </c>
      <c r="J22" s="103">
        <f t="shared" si="10"/>
        <v>8.3333333333333339</v>
      </c>
    </row>
    <row r="23" spans="1:10">
      <c r="A23" s="61"/>
      <c r="B23" s="61"/>
      <c r="C23" s="61"/>
      <c r="D23" s="61"/>
      <c r="G23" s="61"/>
      <c r="H23" s="61"/>
      <c r="I23" s="61"/>
      <c r="J23" s="61"/>
    </row>
    <row r="24" spans="1:10">
      <c r="A24" s="104" t="s">
        <v>95</v>
      </c>
      <c r="B24" s="52">
        <f>B18*B22</f>
        <v>42821.428571428572</v>
      </c>
      <c r="C24" s="52">
        <f t="shared" ref="C24:D24" si="11">C18*C22</f>
        <v>75964.912280701756</v>
      </c>
      <c r="D24" s="52">
        <f t="shared" si="11"/>
        <v>88406.862745098057</v>
      </c>
      <c r="G24" s="65" t="s">
        <v>95</v>
      </c>
      <c r="H24" s="105">
        <f>H18*H22</f>
        <v>42821.428571428572</v>
      </c>
      <c r="I24" s="105">
        <f t="shared" ref="I24:J24" si="12">I18*I22</f>
        <v>75964.912280701756</v>
      </c>
      <c r="J24" s="105">
        <f>J18*J22</f>
        <v>88406.862745098057</v>
      </c>
    </row>
    <row r="25" spans="1:10">
      <c r="A25" s="80"/>
      <c r="B25" s="61"/>
      <c r="C25" s="61"/>
      <c r="D25" s="81"/>
      <c r="G25" s="99"/>
      <c r="H25" s="61"/>
      <c r="I25" s="61"/>
      <c r="J25" s="106"/>
    </row>
    <row r="26" spans="1:10">
      <c r="A26" s="107" t="s">
        <v>96</v>
      </c>
      <c r="B26" s="62">
        <f>B24+B2</f>
        <v>58771.428571428572</v>
      </c>
      <c r="C26" s="62">
        <f t="shared" ref="C26:D26" si="13">C24+C2</f>
        <v>110064.91228070176</v>
      </c>
      <c r="D26" s="62">
        <f t="shared" si="13"/>
        <v>167606.86274509807</v>
      </c>
      <c r="G26" s="99" t="s">
        <v>96</v>
      </c>
      <c r="H26" s="62">
        <f>H24+H2</f>
        <v>64571.428571428572</v>
      </c>
      <c r="I26" s="62">
        <f t="shared" ref="I26:J26" si="14">I24+I2</f>
        <v>122464.91228070176</v>
      </c>
      <c r="J26" s="62">
        <f>J24+J2</f>
        <v>196406.86274509807</v>
      </c>
    </row>
    <row r="27" spans="1:10">
      <c r="A27" s="80"/>
      <c r="B27" s="61" t="s">
        <v>77</v>
      </c>
      <c r="C27" s="61" t="s">
        <v>78</v>
      </c>
      <c r="D27" s="81" t="s">
        <v>79</v>
      </c>
      <c r="G27" s="99"/>
      <c r="H27" s="108" t="s">
        <v>77</v>
      </c>
      <c r="I27" s="108" t="s">
        <v>78</v>
      </c>
      <c r="J27" s="109" t="s">
        <v>79</v>
      </c>
    </row>
    <row r="28" spans="1:10">
      <c r="A28" s="94" t="s">
        <v>97</v>
      </c>
      <c r="B28" s="95">
        <f>B26/B22</f>
        <v>7052.5714285714284</v>
      </c>
      <c r="C28" s="95">
        <f t="shared" ref="C28:D28" si="15">C26/C22</f>
        <v>13207.78947368421</v>
      </c>
      <c r="D28" s="95">
        <f t="shared" si="15"/>
        <v>20112.823529411766</v>
      </c>
      <c r="G28" s="110" t="s">
        <v>97</v>
      </c>
      <c r="H28" s="111">
        <f>H26/H22</f>
        <v>7748.5714285714284</v>
      </c>
      <c r="I28" s="111">
        <f>I26/I22</f>
        <v>14695.78947368421</v>
      </c>
      <c r="J28" s="111">
        <f t="shared" ref="I28:J28" si="16">J26/J22</f>
        <v>23568.823529411766</v>
      </c>
    </row>
    <row r="29" spans="1:10">
      <c r="A29" s="61"/>
      <c r="B29" s="61"/>
      <c r="C29" s="61"/>
      <c r="D29" s="6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School Supplies</vt:lpstr>
      <vt:lpstr>Dog and Cat</vt:lpstr>
      <vt:lpstr>Vacations</vt:lpstr>
      <vt:lpstr>Printers</vt:lpstr>
      <vt:lpstr>Cars</vt:lpstr>
      <vt:lpstr>'School Supplies'!Print_Area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Kingsleigh Ryan</dc:creator>
  <cp:lastModifiedBy>Kingsleigh Ryan</cp:lastModifiedBy>
  <cp:lastPrinted>2026-09-18T05:11:19Z</cp:lastPrinted>
  <dcterms:created xsi:type="dcterms:W3CDTF">2026-09-18T03:55:31Z</dcterms:created>
  <dcterms:modified xsi:type="dcterms:W3CDTF">2026-09-24T16:45:12Z</dcterms:modified>
</cp:coreProperties>
</file>