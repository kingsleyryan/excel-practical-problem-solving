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yberSecurityTools\"/>
    </mc:Choice>
  </mc:AlternateContent>
  <xr:revisionPtr revIDLastSave="0" documentId="8_{4A148D59-D536-4D90-B170-F1A966A589B6}" xr6:coauthVersionLast="47" xr6:coauthVersionMax="47" xr10:uidLastSave="{00000000-0000-0000-0000-000000000000}"/>
  <bookViews>
    <workbookView xWindow="-120" yWindow="-120" windowWidth="20730" windowHeight="11040" activeTab="1" xr2:uid="{94236FF9-9B33-4319-83BE-550F223B5DCB}"/>
  </bookViews>
  <sheets>
    <sheet name="Driver cost summary" sheetId="3" r:id="rId1"/>
    <sheet name="Operations ledger" sheetId="1" r:id="rId2"/>
  </sheets>
  <calcPr calcId="181029"/>
  <pivotCaches>
    <pivotCache cacheId="23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H8" i="1"/>
  <c r="G8" i="1"/>
  <c r="F8" i="1"/>
  <c r="E8" i="1"/>
  <c r="I3" i="1"/>
  <c r="I4" i="1"/>
  <c r="I5" i="1"/>
  <c r="I6" i="1"/>
  <c r="I2" i="1"/>
  <c r="H2" i="1"/>
  <c r="H3" i="1"/>
  <c r="H4" i="1"/>
  <c r="H5" i="1"/>
  <c r="H6" i="1"/>
  <c r="G3" i="1"/>
  <c r="G4" i="1"/>
  <c r="G5" i="1"/>
  <c r="G6" i="1"/>
  <c r="G2" i="1"/>
</calcChain>
</file>

<file path=xl/sharedStrings.xml><?xml version="1.0" encoding="utf-8"?>
<sst xmlns="http://schemas.openxmlformats.org/spreadsheetml/2006/main" count="34" uniqueCount="29">
  <si>
    <t>Trip ID</t>
  </si>
  <si>
    <t>Driver Name</t>
  </si>
  <si>
    <t>Route</t>
  </si>
  <si>
    <t>Distance KM</t>
  </si>
  <si>
    <t>Liters Used</t>
  </si>
  <si>
    <t>Fuel Price Per Liter</t>
  </si>
  <si>
    <t>Total Fuel Cost</t>
  </si>
  <si>
    <t>KM Per Liter</t>
  </si>
  <si>
    <t>Performance Status</t>
  </si>
  <si>
    <t>Chidi Okafor</t>
  </si>
  <si>
    <t>Efe Johnson</t>
  </si>
  <si>
    <t>Adaoma Moonlight</t>
  </si>
  <si>
    <t>Blessing Kalu</t>
  </si>
  <si>
    <t>Lex Ophilia</t>
  </si>
  <si>
    <t>Aba to owerri</t>
  </si>
  <si>
    <t>Aba to port Harcourt</t>
  </si>
  <si>
    <t>Aba Local delivery</t>
  </si>
  <si>
    <t>Aba to Enugu</t>
  </si>
  <si>
    <t>Aba to Onisha</t>
  </si>
  <si>
    <t>Trip-1</t>
  </si>
  <si>
    <t>Trip-2</t>
  </si>
  <si>
    <t>Trip-3</t>
  </si>
  <si>
    <t>Trip-4</t>
  </si>
  <si>
    <t>Trip-5</t>
  </si>
  <si>
    <t>Total</t>
  </si>
  <si>
    <t>Average</t>
  </si>
  <si>
    <t>Row Labels</t>
  </si>
  <si>
    <t>Grand Total</t>
  </si>
  <si>
    <t>Sum of Total Fuel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</si>
</sst>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[$$-409]* #,##0.00_ ;_-[$$-409]* \-#,##0.00\ ;_-[$$-409]* &quot;-&quot;??_ ;_-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164" fontId="5" fillId="0" borderId="0" xfId="1" applyNumberFormat="1" applyFont="1"/>
    <xf numFmtId="2" fontId="5" fillId="0" borderId="0" xfId="0" applyNumberFormat="1" applyFont="1"/>
    <xf numFmtId="164" fontId="5" fillId="0" borderId="0" xfId="0" applyNumberFormat="1" applyFont="1"/>
    <xf numFmtId="164" fontId="4" fillId="0" borderId="0" xfId="0" applyNumberFormat="1" applyFont="1"/>
    <xf numFmtId="2" fontId="4" fillId="0" borderId="0" xfId="0" applyNumberFormat="1" applyFont="1"/>
    <xf numFmtId="0" fontId="5" fillId="0" borderId="0" xfId="0" pivotButton="1" applyFont="1"/>
    <xf numFmtId="0" fontId="5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21"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[Aba_Logistics_Fleet_Analysis.xlsx]Driver cost summary!PivotTable5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'Driver cost summary'!$B$3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'Driver cost summary'!$A$4:$A$9</c:f>
              <c:strCache>
                <c:ptCount val="5"/>
                <c:pt idx="0">
                  <c:v>Adaoma Moonlight</c:v>
                </c:pt>
                <c:pt idx="1">
                  <c:v>Blessing Kalu</c:v>
                </c:pt>
                <c:pt idx="2">
                  <c:v>Chidi Okafor</c:v>
                </c:pt>
                <c:pt idx="3">
                  <c:v>Efe Johnson</c:v>
                </c:pt>
                <c:pt idx="4">
                  <c:v>Lex Ophilia</c:v>
                </c:pt>
              </c:strCache>
            </c:strRef>
          </c:cat>
          <c:val>
            <c:numRef>
              <c:f>'Driver cost summary'!$B$4:$B$9</c:f>
              <c:numCache>
                <c:formatCode>_-[$$-409]* #,##0.00_ ;_-[$$-409]* \-#,##0.00\ ;_-[$$-409]* "-"??_ ;_-@_ </c:formatCode>
                <c:ptCount val="5"/>
                <c:pt idx="0">
                  <c:v>92000</c:v>
                </c:pt>
                <c:pt idx="1">
                  <c:v>206250</c:v>
                </c:pt>
                <c:pt idx="2">
                  <c:v>180000</c:v>
                </c:pt>
                <c:pt idx="3">
                  <c:v>840000</c:v>
                </c:pt>
                <c:pt idx="4">
                  <c:v>112500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45-4B69-B9AA-D5F573A25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58309856"/>
        <c:axId val="1458312736"/>
        <c:axId val="0"/>
      </c:bar3DChart>
      <c:catAx>
        <c:axId val="145830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58312736"/>
        <c:crosses val="autoZero"/>
        <c:auto val="1"/>
        <c:lblAlgn val="ctr"/>
        <c:lblOffset val="100"/>
        <c:noMultiLvlLbl val="0"/>
      </c:catAx>
      <c:valAx>
        <c:axId val="145831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5830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Depot</a:t>
            </a:r>
            <a:r>
              <a:rPr lang="en-US" sz="1200" b="1" baseline="0"/>
              <a:t> Fleet Effeciency Profile: KM Per Liter Audit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'Operations ledger'!$C$2:$C$6</c:f>
              <c:strCache>
                <c:ptCount val="5"/>
                <c:pt idx="0">
                  <c:v>Aba to owerri</c:v>
                </c:pt>
                <c:pt idx="1">
                  <c:v>Aba to port Harcourt</c:v>
                </c:pt>
                <c:pt idx="2">
                  <c:v>Aba Local delivery</c:v>
                </c:pt>
                <c:pt idx="3">
                  <c:v>Aba to Enugu</c:v>
                </c:pt>
                <c:pt idx="4">
                  <c:v>Aba to Onisha</c:v>
                </c:pt>
              </c:strCache>
            </c:strRef>
          </c:cat>
          <c:val>
            <c:numRef>
              <c:f>'Operations ledger'!$H$2:$H$6</c:f>
              <c:numCache>
                <c:formatCode>0.00</c:formatCode>
                <c:ptCount val="5"/>
                <c:pt idx="0">
                  <c:v>8</c:v>
                </c:pt>
                <c:pt idx="1">
                  <c:v>5</c:v>
                </c:pt>
                <c:pt idx="2">
                  <c:v>10</c:v>
                </c:pt>
                <c:pt idx="3">
                  <c:v>9.0909090909090917</c:v>
                </c:pt>
                <c:pt idx="4">
                  <c:v>10.555555555555555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2-4E2E-98CD-534C4F6C4D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8273856"/>
        <c:axId val="1458274336"/>
      </c:barChart>
      <c:catAx>
        <c:axId val="1458273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58274336"/>
        <c:crosses val="autoZero"/>
        <c:auto val="1"/>
        <c:lblAlgn val="ctr"/>
        <c:lblOffset val="100"/>
        <c:noMultiLvlLbl val="0"/>
      </c:catAx>
      <c:valAx>
        <c:axId val="1458274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58273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609599</xdr:colOff>
      <xdr:row>2</xdr:row>
      <xdr:rowOff>4762</xdr:rowOff>
    </xdr:from>
    <xdr:to>
      <xdr:col>10</xdr:col>
      <xdr:colOff>600074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85572F-38B4-C20F-9AF1-06B2BEA51F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9</xdr:row>
      <xdr:rowOff>4762</xdr:rowOff>
    </xdr:from>
    <xdr:to>
      <xdr:col>9</xdr:col>
      <xdr:colOff>0</xdr:colOff>
      <xdr:row>23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E45A4D-369A-583D-2BA6-681880978E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UKWUBUGOM" refreshedDate="46293.362660763887" createdVersion="8" refreshedVersion="8" minRefreshableVersion="3" recordCount="5" xr:uid="{646EEDBA-E391-4DFB-A948-214714693B64}">
  <cacheSource type="worksheet">
    <worksheetSource ref="A1:I6" sheet="Operations ledger"/>
  </cacheSource>
  <cacheFields count="9">
    <cacheField name="Trip ID" numFmtId="0">
      <sharedItems/>
    </cacheField>
    <cacheField name="Driver Name" numFmtId="0">
      <sharedItems count="5">
        <s v="Chidi Okafor"/>
        <s v="Efe Johnson"/>
        <s v="Adaoma Moonlight"/>
        <s v="Blessing Kalu"/>
        <s v="Lex Ophilia"/>
      </sharedItems>
    </cacheField>
    <cacheField name="Route" numFmtId="0">
      <sharedItems/>
    </cacheField>
    <cacheField name="Distance KM" numFmtId="0">
      <sharedItems containsSemiMixedTypes="0" containsString="0" containsNumber="1" containsInteger="1" minValue="800" maxValue="3500"/>
    </cacheField>
    <cacheField name="Liters Used" numFmtId="0">
      <sharedItems containsSemiMixedTypes="0" containsString="0" containsNumber="1" containsInteger="1" minValue="80" maxValue="700"/>
    </cacheField>
    <cacheField name="Fuel Price Per Liter" numFmtId="0">
      <sharedItems containsSemiMixedTypes="0" containsString="0" containsNumber="1" containsInteger="1" minValue="1150" maxValue="1250"/>
    </cacheField>
    <cacheField name="Total Fuel Cost" numFmtId="164">
      <sharedItems containsSemiMixedTypes="0" containsString="0" containsNumber="1" containsInteger="1" minValue="92000" maxValue="840000"/>
    </cacheField>
    <cacheField name="KM Per Liter" numFmtId="2">
      <sharedItems containsSemiMixedTypes="0" containsString="0" containsNumber="1" minValue="5" maxValue="10.555555555555555"/>
    </cacheField>
    <cacheField name="Performance Status" numFmtId="164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Trip-1"/>
    <x v="0"/>
    <s v="Aba to owerri"/>
    <n v="1200"/>
    <n v="150"/>
    <n v="1200"/>
    <n v="180000"/>
    <n v="8"/>
    <s v="Optimal"/>
  </r>
  <r>
    <s v="Trip-2"/>
    <x v="1"/>
    <s v="Aba to port Harcourt"/>
    <n v="3500"/>
    <n v="700"/>
    <n v="1200"/>
    <n v="840000"/>
    <n v="5"/>
    <s v="Audit Require"/>
  </r>
  <r>
    <s v="Trip-3"/>
    <x v="2"/>
    <s v="Aba Local delivery"/>
    <n v="800"/>
    <n v="80"/>
    <n v="1150"/>
    <n v="92000"/>
    <n v="10"/>
    <s v="Optimal"/>
  </r>
  <r>
    <s v="Trip-4"/>
    <x v="3"/>
    <s v="Aba to Enugu"/>
    <n v="1500"/>
    <n v="165"/>
    <n v="1250"/>
    <n v="206250"/>
    <n v="9.0909090909090917"/>
    <s v="Optimal"/>
  </r>
  <r>
    <s v="Trip-5"/>
    <x v="4"/>
    <s v="Aba to Onisha"/>
    <n v="950"/>
    <n v="90"/>
    <n v="1250"/>
    <n v="112500"/>
    <n v="10.555555555555555"/>
    <s v="Optim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5DB0AE-2EE9-46AD-A83E-F81547227B4C}" name="PivotTable5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9"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dataField="1" numFmtId="164" showAll="0"/>
    <pivotField numFmtId="2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Fuel Cost" fld="6" baseField="0" baseItem="0" numFmtId="164"/>
  </dataFields>
  <formats count="6">
    <format dxfId="12">
      <pivotArea type="all" dataOnly="0" outline="0" fieldPosition="0"/>
    </format>
    <format dxfId="5">
      <pivotArea outline="0" collapsedLevelsAreSubtotals="1" fieldPosition="0"/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3FE5B-3203-4260-9E6D-F248C0B09A51}">
  <dimension ref="A2:B9"/>
  <sheetViews>
    <sheetView workbookViewId="0">
      <selection activeCell="B14" sqref="B14"/>
    </sheetView>
  </sheetViews>
  <sheetFormatPr defaultRowHeight="15" x14ac:dyDescent="0.25"/>
  <cols>
    <col min="1" max="1" width="18.140625" bestFit="1" customWidth="1"/>
    <col min="2" max="2" width="20.85546875" bestFit="1" customWidth="1"/>
  </cols>
  <sheetData>
    <row r="2" spans="1:2" ht="15.75" x14ac:dyDescent="0.25">
      <c r="A2" s="3"/>
      <c r="B2" s="3"/>
    </row>
    <row r="3" spans="1:2" ht="15.75" x14ac:dyDescent="0.25">
      <c r="A3" s="9" t="s">
        <v>26</v>
      </c>
      <c r="B3" s="3" t="s">
        <v>28</v>
      </c>
    </row>
    <row r="4" spans="1:2" ht="15.75" x14ac:dyDescent="0.25">
      <c r="A4" s="10" t="s">
        <v>11</v>
      </c>
      <c r="B4" s="6">
        <v>92000</v>
      </c>
    </row>
    <row r="5" spans="1:2" ht="15.75" x14ac:dyDescent="0.25">
      <c r="A5" s="10" t="s">
        <v>12</v>
      </c>
      <c r="B5" s="6">
        <v>206250</v>
      </c>
    </row>
    <row r="6" spans="1:2" ht="15.75" x14ac:dyDescent="0.25">
      <c r="A6" s="10" t="s">
        <v>9</v>
      </c>
      <c r="B6" s="6">
        <v>180000</v>
      </c>
    </row>
    <row r="7" spans="1:2" ht="15.75" x14ac:dyDescent="0.25">
      <c r="A7" s="10" t="s">
        <v>10</v>
      </c>
      <c r="B7" s="6">
        <v>840000</v>
      </c>
    </row>
    <row r="8" spans="1:2" ht="15.75" x14ac:dyDescent="0.25">
      <c r="A8" s="10" t="s">
        <v>13</v>
      </c>
      <c r="B8" s="6">
        <v>112500</v>
      </c>
    </row>
    <row r="9" spans="1:2" ht="15.75" x14ac:dyDescent="0.25">
      <c r="A9" s="10" t="s">
        <v>27</v>
      </c>
      <c r="B9" s="6">
        <v>1430750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1DDD6-F96D-4676-A9CB-E0AB88D9AB9A}">
  <dimension ref="A1:I8"/>
  <sheetViews>
    <sheetView tabSelected="1" workbookViewId="0">
      <selection activeCell="B11" sqref="B11"/>
    </sheetView>
  </sheetViews>
  <sheetFormatPr defaultRowHeight="15" x14ac:dyDescent="0.25"/>
  <cols>
    <col min="1" max="1" width="6.7109375" bestFit="1" customWidth="1"/>
    <col min="2" max="2" width="18.140625" bestFit="1" customWidth="1"/>
    <col min="3" max="3" width="19.140625" bestFit="1" customWidth="1"/>
    <col min="4" max="4" width="12.140625" bestFit="1" customWidth="1"/>
    <col min="5" max="5" width="11" bestFit="1" customWidth="1"/>
    <col min="6" max="6" width="18.140625" bestFit="1" customWidth="1"/>
    <col min="7" max="7" width="19.42578125" bestFit="1" customWidth="1"/>
    <col min="8" max="8" width="12" bestFit="1" customWidth="1"/>
    <col min="9" max="9" width="18.5703125" bestFit="1" customWidth="1"/>
  </cols>
  <sheetData>
    <row r="1" spans="1:9" s="1" customFormat="1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.75" x14ac:dyDescent="0.25">
      <c r="A2" s="3" t="s">
        <v>19</v>
      </c>
      <c r="B2" s="3" t="s">
        <v>9</v>
      </c>
      <c r="C2" s="3" t="s">
        <v>14</v>
      </c>
      <c r="D2" s="3">
        <v>1200</v>
      </c>
      <c r="E2" s="3">
        <v>150</v>
      </c>
      <c r="F2" s="3">
        <v>1200</v>
      </c>
      <c r="G2" s="4">
        <f>E2*F2</f>
        <v>180000</v>
      </c>
      <c r="H2" s="5">
        <f>D2/E2</f>
        <v>8</v>
      </c>
      <c r="I2" s="6" t="str">
        <f>IF(H2&lt;6,"Audit Require","Optimal")</f>
        <v>Optimal</v>
      </c>
    </row>
    <row r="3" spans="1:9" ht="15.75" x14ac:dyDescent="0.25">
      <c r="A3" s="3" t="s">
        <v>20</v>
      </c>
      <c r="B3" s="3" t="s">
        <v>10</v>
      </c>
      <c r="C3" s="3" t="s">
        <v>15</v>
      </c>
      <c r="D3" s="3">
        <v>3500</v>
      </c>
      <c r="E3" s="3">
        <v>700</v>
      </c>
      <c r="F3" s="3">
        <v>1200</v>
      </c>
      <c r="G3" s="4">
        <f t="shared" ref="G3:G6" si="0">E3*F3</f>
        <v>840000</v>
      </c>
      <c r="H3" s="5">
        <f t="shared" ref="H3:H6" si="1">D3/E3</f>
        <v>5</v>
      </c>
      <c r="I3" s="6" t="str">
        <f t="shared" ref="I3:I6" si="2">IF(H3&lt;6,"Audit Require","Optimal")</f>
        <v>Audit Require</v>
      </c>
    </row>
    <row r="4" spans="1:9" ht="15.75" x14ac:dyDescent="0.25">
      <c r="A4" s="3" t="s">
        <v>21</v>
      </c>
      <c r="B4" s="3" t="s">
        <v>11</v>
      </c>
      <c r="C4" s="3" t="s">
        <v>16</v>
      </c>
      <c r="D4" s="3">
        <v>800</v>
      </c>
      <c r="E4" s="3">
        <v>80</v>
      </c>
      <c r="F4" s="3">
        <v>1150</v>
      </c>
      <c r="G4" s="4">
        <f t="shared" si="0"/>
        <v>92000</v>
      </c>
      <c r="H4" s="5">
        <f t="shared" si="1"/>
        <v>10</v>
      </c>
      <c r="I4" s="6" t="str">
        <f t="shared" si="2"/>
        <v>Optimal</v>
      </c>
    </row>
    <row r="5" spans="1:9" ht="15.75" x14ac:dyDescent="0.25">
      <c r="A5" s="3" t="s">
        <v>22</v>
      </c>
      <c r="B5" s="3" t="s">
        <v>12</v>
      </c>
      <c r="C5" s="3" t="s">
        <v>17</v>
      </c>
      <c r="D5" s="3">
        <v>1500</v>
      </c>
      <c r="E5" s="3">
        <v>165</v>
      </c>
      <c r="F5" s="3">
        <v>1250</v>
      </c>
      <c r="G5" s="4">
        <f t="shared" si="0"/>
        <v>206250</v>
      </c>
      <c r="H5" s="5">
        <f t="shared" si="1"/>
        <v>9.0909090909090917</v>
      </c>
      <c r="I5" s="6" t="str">
        <f t="shared" si="2"/>
        <v>Optimal</v>
      </c>
    </row>
    <row r="6" spans="1:9" ht="15.75" x14ac:dyDescent="0.25">
      <c r="A6" s="3" t="s">
        <v>23</v>
      </c>
      <c r="B6" s="3" t="s">
        <v>13</v>
      </c>
      <c r="C6" s="3" t="s">
        <v>18</v>
      </c>
      <c r="D6" s="3">
        <v>950</v>
      </c>
      <c r="E6" s="3">
        <v>90</v>
      </c>
      <c r="F6" s="3">
        <v>1250</v>
      </c>
      <c r="G6" s="4">
        <f t="shared" si="0"/>
        <v>112500</v>
      </c>
      <c r="H6" s="5">
        <f t="shared" si="1"/>
        <v>10.555555555555555</v>
      </c>
      <c r="I6" s="6" t="str">
        <f t="shared" si="2"/>
        <v>Optimal</v>
      </c>
    </row>
    <row r="7" spans="1:9" ht="15.75" x14ac:dyDescent="0.25">
      <c r="A7" s="3"/>
      <c r="B7" s="3"/>
      <c r="C7" s="3"/>
      <c r="D7" s="3"/>
      <c r="E7" s="3"/>
      <c r="F7" s="3"/>
      <c r="G7" s="3"/>
      <c r="H7" s="3"/>
      <c r="I7" s="3"/>
    </row>
    <row r="8" spans="1:9" s="1" customFormat="1" ht="15.75" x14ac:dyDescent="0.25">
      <c r="A8" s="2"/>
      <c r="B8" s="2" t="s">
        <v>24</v>
      </c>
      <c r="C8" s="2" t="s">
        <v>25</v>
      </c>
      <c r="D8" s="2">
        <f>SUM(D2:D6)</f>
        <v>7950</v>
      </c>
      <c r="E8" s="2">
        <f>SUM(E2:E6)</f>
        <v>1185</v>
      </c>
      <c r="F8" s="2">
        <f>SUM(F2:F6)</f>
        <v>6050</v>
      </c>
      <c r="G8" s="7">
        <f>SUM(G2:G6)</f>
        <v>1430750</v>
      </c>
      <c r="H8" s="8">
        <f>AVERAGE(H2:H6)</f>
        <v>8.5292929292929305</v>
      </c>
      <c r="I8" s="2"/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Driver cost summary</vt:lpstr>
      <vt:lpstr>Operations ledger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Kingsleigh Ryan</dc:creator>
  <cp:lastModifiedBy>Kingsleigh Ryan</cp:lastModifiedBy>
  <dcterms:created xsi:type="dcterms:W3CDTF">2026-09-19T13:43:52Z</dcterms:created>
  <dcterms:modified xsi:type="dcterms:W3CDTF">2026-09-28T08:44:58Z</dcterms:modified>
</cp:coreProperties>
</file>